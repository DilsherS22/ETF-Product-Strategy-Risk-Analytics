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duct Landscape" sheetId="3" state="visible" r:id="rId3"/>
    <sheet xmlns:r="http://schemas.openxmlformats.org/officeDocument/2006/relationships" name="Analysis Results" sheetId="4" state="visible" r:id="rId4"/>
    <sheet xmlns:r="http://schemas.openxmlformats.org/officeDocument/2006/relationships" name="Risk Analytics" sheetId="5" state="visible" r:id="rId5"/>
    <sheet xmlns:r="http://schemas.openxmlformats.org/officeDocument/2006/relationships" name="Monthly Prices" sheetId="6" state="visible" r:id="rId6"/>
    <sheet xmlns:r="http://schemas.openxmlformats.org/officeDocument/2006/relationships" name="Monthly Returns" sheetId="7" state="visible" r:id="rId7"/>
    <sheet xmlns:r="http://schemas.openxmlformats.org/officeDocument/2006/relationships" name="Risk-Free Rates" sheetId="8" state="visible" r:id="rId8"/>
    <sheet xmlns:r="http://schemas.openxmlformats.org/officeDocument/2006/relationships" name="Drawdown Calc" sheetId="9" state="visible" r:id="rId9"/>
    <sheet xmlns:r="http://schemas.openxmlformats.org/officeDocument/2006/relationships" name="Correlation Matrix" sheetId="10" state="visible" r:id="rId10"/>
    <sheet xmlns:r="http://schemas.openxmlformats.org/officeDocument/2006/relationships" name="Strategy Case" sheetId="11" state="visible" r:id="rId11"/>
    <sheet xmlns:r="http://schemas.openxmlformats.org/officeDocument/2006/relationships" name="Sources" sheetId="12" state="visible" r:id="rId12"/>
  </sheets>
  <definedNames>
    <definedName name="_xlnm._FilterDatabase" localSheetId="2" hidden="1">'Product Landscape'!$A$5:$N$10</definedName>
    <definedName name="_xlnm.Print_Titles" localSheetId="2">'Product Landscape'!$1:$5</definedName>
    <definedName name="_xlnm.Print_Titles" localSheetId="4">'Risk Analytics'!$1:$5</definedName>
    <definedName name="_xlnm._FilterDatabase" localSheetId="5" hidden="1">'Monthly Prices'!$A$4:$K$41</definedName>
    <definedName name="_xlnm.Print_Titles" localSheetId="5">'Monthly Prices'!$1:$5</definedName>
    <definedName name="_xlnm._FilterDatabase" localSheetId="6" hidden="1">'Monthly Returns'!$A$4:$K$40</definedName>
    <definedName name="_xlnm.Print_Titles" localSheetId="6">'Monthly Returns'!$1:$5</definedName>
    <definedName name="_xlnm._FilterDatabase" localSheetId="7" hidden="1">'Risk-Free Rates'!$A$4:$D$40</definedName>
    <definedName name="_xlnm.Print_Area" localSheetId="7">'Risk-Free Rates'!$A$1:$E$40</definedName>
    <definedName name="_xlnm._FilterDatabase" localSheetId="8" hidden="1">'Drawdown Calc'!$A$4:$K$41</definedName>
    <definedName name="_xlnm.Print_Titles" localSheetId="8">'Drawdown Calc'!$1:$5</definedName>
    <definedName name="_xlnm.Print_Titles" localSheetId="9">'Correlation Matrix'!$1:$5</definedName>
    <definedName name="_xlnm.Print_Titles" localSheetId="11">'Sources'!$1:$4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$0.0&quot;B&quot;"/>
    <numFmt numFmtId="165" formatCode="0.0%"/>
    <numFmt numFmtId="166" formatCode="0.00x"/>
    <numFmt numFmtId="167" formatCode="0.0%;[Red](0.0%);-"/>
    <numFmt numFmtId="168" formatCode="0.00x;[Red](0.00x);-"/>
    <numFmt numFmtId="169" formatCode="$0.00"/>
    <numFmt numFmtId="170" formatCode="0.00;[Red](0.00);-"/>
    <numFmt numFmtId="171" formatCode="$0.0&quot;bn&quot;"/>
    <numFmt numFmtId="172" formatCode="mmm d, yyyy"/>
    <numFmt numFmtId="173" formatCode="0.00%;[Red](0.00%);-"/>
    <numFmt numFmtId="174" formatCode="0.000%"/>
  </numFmts>
  <fonts count="7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75467"/>
      <sz val="10"/>
    </font>
    <font>
      <b val="1"/>
      <color rgb="00FFFFFF"/>
      <sz val="11"/>
    </font>
    <font>
      <b val="1"/>
      <color rgb="00475467"/>
      <sz val="9"/>
    </font>
    <font>
      <b val="1"/>
      <color rgb="000B1F33"/>
      <sz val="18"/>
    </font>
    <font>
      <color rgb="00000000"/>
      <sz val="10"/>
    </font>
    <font>
      <b val="1"/>
      <color rgb="000B1F33"/>
      <sz val="12"/>
    </font>
    <font>
      <b val="1"/>
      <color rgb="00FFFFFF"/>
    </font>
    <font>
      <b val="1"/>
      <color rgb="000B1F33"/>
    </font>
    <font>
      <color rgb="00000000"/>
      <sz val="9"/>
    </font>
    <font>
      <color rgb="000000FF"/>
      <sz val="9"/>
    </font>
    <font>
      <color rgb="00475467"/>
      <sz val="9"/>
    </font>
    <font>
      <color rgb="00008000"/>
      <sz val="9"/>
    </font>
    <font>
      <b val="1"/>
      <color rgb="00000000"/>
    </font>
    <font>
      <color rgb="00008000"/>
    </font>
    <font>
      <i val="1"/>
      <color rgb="009C6500"/>
    </font>
    <font>
      <b val="1"/>
      <color rgb="000B1F33"/>
      <sz val="14"/>
    </font>
    <font>
      <b val="1"/>
      <color rgb="000F6B78"/>
    </font>
    <font>
      <color rgb="00008000"/>
      <u val="single"/>
    </font>
    <font>
      <color rgb="007F6000"/>
    </font>
    <font>
      <i val="1"/>
      <color rgb="00666666"/>
    </font>
    <font>
      <color rgb="00666666"/>
    </font>
    <font>
      <color rgb="00000000"/>
    </font>
    <font>
      <color rgb="000000FF"/>
    </font>
    <font>
      <b val="1"/>
      <color rgb="00666666"/>
    </font>
    <font>
      <i val="1"/>
      <color rgb="00375623"/>
    </font>
    <font>
      <b val="1"/>
      <color rgb="00FFFFFF"/>
      <sz val="18"/>
    </font>
    <font>
      <b val="1"/>
      <color rgb="000F6B78"/>
      <sz val="12"/>
    </font>
    <font>
      <name val="Aptos"/>
      <b val="1"/>
      <color rgb="00FFFFFF"/>
      <sz val="16"/>
    </font>
    <font>
      <name val="Aptos"/>
      <i val="1"/>
      <color rgb="00475467"/>
      <sz val="10"/>
    </font>
    <font>
      <name val="Aptos"/>
      <b val="1"/>
      <color rgb="00FFFFFF"/>
      <sz val="11"/>
    </font>
    <font>
      <name val="Aptos"/>
      <b val="1"/>
      <color rgb="000B1F33"/>
      <sz val="10"/>
    </font>
    <font>
      <name val="Aptos"/>
      <color theme="1"/>
      <sz val="11"/>
    </font>
    <font>
      <name val="Aptos"/>
      <color rgb="007F6000"/>
      <sz val="10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b val="1"/>
      <color rgb="001F2937"/>
      <sz val="10"/>
    </font>
    <font>
      <name val="Aptos"/>
      <color rgb="001F2937"/>
      <sz val="10"/>
    </font>
    <font>
      <name val="Aptos"/>
      <b val="1"/>
      <color rgb="00475467"/>
      <sz val="9"/>
    </font>
    <font>
      <name val="Aptos"/>
      <b val="1"/>
      <color rgb="000B1F33"/>
      <sz val="18"/>
    </font>
    <font>
      <name val="Aptos"/>
      <color rgb="00000000"/>
      <sz val="10"/>
    </font>
    <font>
      <name val="Aptos"/>
      <b val="1"/>
      <color rgb="000B1F33"/>
      <sz val="12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name val="Aptos"/>
      <b val="1"/>
      <color rgb="00667085"/>
      <sz val="10"/>
    </font>
    <font>
      <name val="Aptos Display"/>
      <b val="1"/>
      <color rgb="0017365D"/>
      <sz val="18"/>
    </font>
    <font>
      <name val="Aptos"/>
      <b val="1"/>
      <color rgb="0017365D"/>
      <sz val="12"/>
    </font>
    <font>
      <name val="Aptos"/>
      <color rgb="00000000"/>
      <sz val="9"/>
    </font>
    <font>
      <name val="Aptos"/>
      <color rgb="000000FF"/>
      <sz val="9"/>
    </font>
    <font>
      <name val="Aptos"/>
      <color rgb="00475467"/>
      <sz val="9"/>
    </font>
    <font>
      <name val="Aptos"/>
      <color rgb="00008000"/>
      <sz val="9"/>
    </font>
    <font>
      <name val="Aptos"/>
      <b val="1"/>
      <color rgb="00000000"/>
      <sz val="10"/>
    </font>
    <font>
      <name val="Aptos"/>
      <b val="1"/>
      <color rgb="00FFFFFF"/>
      <sz val="9"/>
    </font>
    <font>
      <name val="Aptos"/>
      <color rgb="001F2937"/>
      <sz val="9"/>
    </font>
    <font>
      <name val="Aptos"/>
      <color rgb="00008000"/>
      <sz val="8"/>
      <u val="single"/>
    </font>
    <font>
      <name val="Aptos"/>
      <b val="1"/>
      <color rgb="001F2937"/>
      <sz val="9"/>
    </font>
    <font>
      <name val="Aptos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0F6B78"/>
      <sz val="12"/>
    </font>
    <font>
      <name val="Aptos Display"/>
      <b val="1"/>
      <color rgb="001F4E78"/>
      <sz val="14"/>
    </font>
    <font>
      <name val="Aptos"/>
      <b val="1"/>
      <i val="1"/>
      <color rgb="0017365D"/>
      <sz val="10"/>
    </font>
    <font>
      <name val="Aptos"/>
      <i val="1"/>
      <color rgb="00375623"/>
      <sz val="10"/>
    </font>
    <font>
      <name val="Aptos"/>
      <color rgb="000000FF"/>
      <sz val="10"/>
    </font>
    <font>
      <name val="Aptos"/>
      <color rgb="00666666"/>
      <sz val="10"/>
    </font>
    <font>
      <name val="Aptos"/>
      <b val="1"/>
      <color rgb="00666666"/>
      <sz val="10"/>
    </font>
    <font>
      <name val="Aptos"/>
      <i val="1"/>
      <color rgb="00667085"/>
      <sz val="9"/>
    </font>
    <font>
      <name val="Aptos"/>
      <b val="1"/>
      <color rgb="00667085"/>
      <sz val="9"/>
    </font>
    <font>
      <name val="Aptos"/>
      <color rgb="00008000"/>
      <sz val="10"/>
    </font>
    <font>
      <name val="Aptos Display"/>
      <b val="1"/>
      <color rgb="00FFFFFF"/>
      <sz val="16"/>
    </font>
    <font>
      <name val="Aptos"/>
      <b val="1"/>
      <color rgb="000B1F33"/>
      <sz val="14"/>
    </font>
    <font>
      <name val="Aptos"/>
      <b val="1"/>
      <color rgb="000F6B78"/>
      <sz val="10"/>
    </font>
    <font>
      <name val="Aptos"/>
      <b val="1"/>
      <color rgb="0017365D"/>
      <sz val="11"/>
    </font>
    <font>
      <name val="Aptos"/>
      <color rgb="00008000"/>
      <sz val="10"/>
      <u val="single"/>
    </font>
    <font>
      <name val="Aptos"/>
      <color rgb="000563C1"/>
      <sz val="8"/>
      <u val="single"/>
    </font>
  </fonts>
  <fills count="1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7365D"/>
      </patternFill>
    </fill>
    <fill>
      <patternFill patternType="solid">
        <fgColor rgb="00D9EDEF"/>
      </patternFill>
    </fill>
    <fill>
      <patternFill patternType="solid">
        <fgColor rgb="00DCE6F1"/>
      </patternFill>
    </fill>
    <fill>
      <patternFill patternType="solid">
        <fgColor rgb="000F6B78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EEF4F9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1">
    <border>
      <left/>
      <right/>
      <top/>
      <bottom/>
      <diagonal/>
    </border>
    <border>
      <bottom style="thin">
        <color rgb="00D0D5DD"/>
      </bottom>
    </border>
    <border>
      <bottom style="medium">
        <color rgb="000B1F33"/>
      </bottom>
    </border>
    <border>
      <top style="medium">
        <color rgb="000B1F33"/>
      </top>
    </border>
    <border>
      <left/>
      <right/>
      <top/>
      <bottom style="thin">
        <color rgb="00D0D5DD"/>
      </bottom>
      <diagonal/>
    </border>
    <border>
      <right/>
      <bottom style="thin">
        <color rgb="00D0D5DD"/>
      </bottom>
    </border>
    <border>
      <left style="thin">
        <color rgb="00D6DCE4"/>
      </left>
      <right style="thin">
        <color rgb="00D6DCE4"/>
      </right>
      <top style="thin">
        <color rgb="00D6DCE4"/>
      </top>
    </border>
    <border>
      <left style="thin">
        <color rgb="00D6DCE4"/>
      </left>
      <right style="thin">
        <color rgb="00D6DCE4"/>
      </right>
      <bottom style="thin">
        <color rgb="00D6DCE4"/>
      </bottom>
    </border>
    <border>
      <bottom style="medium">
        <color rgb="001F4E78"/>
      </bottom>
    </border>
    <border>
      <bottom style="thin">
        <color rgb="00D6DCE4"/>
      </bottom>
    </border>
    <border>
      <top style="medium">
        <color rgb="001F4E78"/>
      </top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0D5DD"/>
      </bottom>
    </border>
    <border>
      <left/>
      <right/>
      <top style="thin">
        <color rgb="00D6DCE4"/>
      </top>
      <bottom/>
      <diagonal/>
    </border>
    <border>
      <left/>
      <right style="thin">
        <color rgb="00D6DCE4"/>
      </right>
      <top style="thin">
        <color rgb="00D6DCE4"/>
      </top>
      <bottom/>
      <diagonal/>
    </border>
    <border>
      <left/>
      <right/>
      <top style="thin">
        <color rgb="00D6DCE4"/>
      </top>
      <bottom style="thin">
        <color rgb="00D0D5DD"/>
      </bottom>
      <diagonal/>
    </border>
    <border>
      <left/>
      <right style="thin">
        <color rgb="00D6DCE4"/>
      </right>
      <top style="thin">
        <color rgb="00D6DCE4"/>
      </top>
      <bottom style="thin">
        <color rgb="00D0D5DD"/>
      </bottom>
      <diagonal/>
    </border>
    <border>
      <left style="thin">
        <color rgb="00D6DCE4"/>
      </left>
      <right/>
      <top/>
      <bottom/>
      <diagonal/>
    </border>
    <border>
      <left/>
      <right style="thin">
        <color rgb="00D6DCE4"/>
      </right>
      <top/>
      <bottom/>
      <diagonal/>
    </border>
    <border>
      <left style="thin">
        <color rgb="00D6DCE4"/>
      </left>
      <right/>
      <top/>
      <bottom style="thin">
        <color rgb="00D6DCE4"/>
      </bottom>
      <diagonal/>
    </border>
    <border>
      <left/>
      <right/>
      <top/>
      <bottom style="thin">
        <color rgb="00D6DCE4"/>
      </bottom>
      <diagonal/>
    </border>
    <border>
      <left/>
      <right style="thin">
        <color rgb="00D6DCE4"/>
      </right>
      <top/>
      <bottom style="thin">
        <color rgb="00D6DCE4"/>
      </bottom>
      <diagonal/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/>
    </xf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20" fillId="7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164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5" borderId="0" applyAlignment="1" pivotButton="0" quotePrefix="0" xfId="0">
      <alignment vertical="top" wrapText="1"/>
    </xf>
    <xf numFmtId="0" fontId="8" fillId="6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165" fontId="10" fillId="0" borderId="0" applyAlignment="1" pivotButton="0" quotePrefix="0" xfId="0">
      <alignment vertical="top" wrapText="1"/>
    </xf>
    <xf numFmtId="10" fontId="1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9" fillId="0" borderId="3" pivotButton="0" quotePrefix="0" xfId="0"/>
    <xf numFmtId="164" fontId="14" fillId="0" borderId="3" pivotButton="0" quotePrefix="0" xfId="0"/>
    <xf numFmtId="10" fontId="14" fillId="0" borderId="3" pivotButton="0" quotePrefix="0" xfId="0"/>
    <xf numFmtId="3" fontId="14" fillId="0" borderId="3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top" wrapText="1"/>
    </xf>
    <xf numFmtId="165" fontId="15" fillId="0" borderId="0" pivotButton="0" quotePrefix="0" xfId="0"/>
    <xf numFmtId="166" fontId="15" fillId="0" borderId="0" pivotButton="0" quotePrefix="0" xfId="0"/>
    <xf numFmtId="0" fontId="16" fillId="7" borderId="0" pivotButton="0" quotePrefix="0" xfId="0"/>
    <xf numFmtId="0" fontId="17" fillId="4" borderId="0" applyAlignment="1" pivotButton="0" quotePrefix="0" xfId="0">
      <alignment vertical="center" wrapText="1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0" fillId="0" borderId="4" pivotButton="0" quotePrefix="0" xfId="0"/>
    <xf numFmtId="0" fontId="6" fillId="0" borderId="0" applyAlignment="1" pivotButton="0" quotePrefix="0" xfId="0">
      <alignment vertical="center" wrapText="1"/>
    </xf>
    <xf numFmtId="0" fontId="27" fillId="2" borderId="0" pivotButton="0" quotePrefix="0" xfId="0"/>
    <xf numFmtId="0" fontId="21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167" fontId="23" fillId="0" borderId="0" pivotButton="0" quotePrefix="0" xfId="0"/>
    <xf numFmtId="168" fontId="23" fillId="0" borderId="0" pivotButton="0" quotePrefix="0" xfId="0"/>
    <xf numFmtId="0" fontId="26" fillId="9" borderId="0" pivotButton="0" quotePrefix="0" xfId="0"/>
    <xf numFmtId="0" fontId="8" fillId="2" borderId="0" pivotButton="0" quotePrefix="0" xfId="0"/>
    <xf numFmtId="165" fontId="24" fillId="0" borderId="0" pivotButton="0" quotePrefix="0" xfId="0"/>
    <xf numFmtId="0" fontId="22" fillId="0" borderId="0" pivotButton="0" quotePrefix="0" xfId="0"/>
    <xf numFmtId="0" fontId="25" fillId="0" borderId="0" pivotButton="0" quotePrefix="0" xfId="0"/>
    <xf numFmtId="0" fontId="22" fillId="0" borderId="0" applyAlignment="1" pivotButton="0" quotePrefix="0" xfId="0">
      <alignment wrapText="1"/>
    </xf>
    <xf numFmtId="0" fontId="1" fillId="2" borderId="0" pivotButton="0" quotePrefix="0" xfId="0"/>
    <xf numFmtId="0" fontId="8" fillId="6" borderId="0" applyAlignment="1" pivotButton="0" quotePrefix="0" xfId="0">
      <alignment horizontal="center"/>
    </xf>
    <xf numFmtId="17" fontId="22" fillId="0" borderId="0" pivotButton="0" quotePrefix="0" xfId="0"/>
    <xf numFmtId="169" fontId="15" fillId="0" borderId="0" pivotButton="0" quotePrefix="0" xfId="0"/>
    <xf numFmtId="0" fontId="8" fillId="8" borderId="0" applyAlignment="1" pivotButton="0" quotePrefix="0" xfId="0">
      <alignment horizontal="center"/>
    </xf>
    <xf numFmtId="170" fontId="0" fillId="0" borderId="0" applyAlignment="1" pivotButton="0" quotePrefix="0" xfId="0">
      <alignment horizontal="center"/>
    </xf>
    <xf numFmtId="0" fontId="35" fillId="3" borderId="0" applyAlignment="1" pivotButton="0" quotePrefix="0" xfId="0">
      <alignment vertical="center"/>
    </xf>
    <xf numFmtId="0" fontId="36" fillId="0" borderId="0" applyAlignment="1" pivotButton="0" quotePrefix="0" xfId="0">
      <alignment vertical="center" wrapText="1"/>
    </xf>
    <xf numFmtId="0" fontId="31" fillId="10" borderId="0" applyAlignment="1" pivotButton="0" quotePrefix="0" xfId="0">
      <alignment vertical="center"/>
    </xf>
    <xf numFmtId="0" fontId="37" fillId="11" borderId="0" applyAlignment="1" pivotButton="0" quotePrefix="0" xfId="0">
      <alignment vertical="center" wrapText="1"/>
    </xf>
    <xf numFmtId="0" fontId="38" fillId="12" borderId="0" applyAlignment="1" pivotButton="0" quotePrefix="0" xfId="0">
      <alignment vertical="center" wrapText="1"/>
    </xf>
    <xf numFmtId="0" fontId="38" fillId="7" borderId="0" applyAlignment="1" pivotButton="0" quotePrefix="0" xfId="0">
      <alignment vertical="top" wrapText="1"/>
    </xf>
    <xf numFmtId="0" fontId="44" fillId="3" borderId="0" applyAlignment="1" pivotButton="0" quotePrefix="0" xfId="0">
      <alignment vertical="center"/>
    </xf>
    <xf numFmtId="0" fontId="45" fillId="11" borderId="6" applyAlignment="1" pivotButton="0" quotePrefix="0" xfId="0">
      <alignment horizontal="left" vertical="bottom"/>
    </xf>
    <xf numFmtId="171" fontId="46" fillId="11" borderId="7" applyAlignment="1" pivotButton="0" quotePrefix="0" xfId="0">
      <alignment horizontal="left" vertical="center"/>
    </xf>
    <xf numFmtId="10" fontId="46" fillId="11" borderId="7" applyAlignment="1" pivotButton="0" quotePrefix="0" xfId="0">
      <alignment horizontal="left" vertical="center"/>
    </xf>
    <xf numFmtId="0" fontId="38" fillId="12" borderId="0" applyAlignment="1" pivotButton="0" quotePrefix="0" xfId="0">
      <alignment vertical="center" wrapText="1" indent="1"/>
    </xf>
    <xf numFmtId="0" fontId="38" fillId="13" borderId="0" applyAlignment="1" pivotButton="0" quotePrefix="0" xfId="0">
      <alignment vertical="center" wrapText="1" indent="1"/>
    </xf>
    <xf numFmtId="0" fontId="47" fillId="0" borderId="0" applyAlignment="1" pivotButton="0" quotePrefix="0" xfId="0">
      <alignment vertical="center"/>
    </xf>
    <xf numFmtId="0" fontId="38" fillId="11" borderId="0" applyAlignment="1" pivotButton="0" quotePrefix="0" xfId="0">
      <alignment vertical="top" wrapText="1"/>
    </xf>
    <xf numFmtId="0" fontId="43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 wrapText="1"/>
    </xf>
    <xf numFmtId="0" fontId="53" fillId="10" borderId="8" applyAlignment="1" pivotButton="0" quotePrefix="0" xfId="0">
      <alignment horizontal="center" vertical="center" wrapText="1"/>
    </xf>
    <xf numFmtId="0" fontId="51" fillId="12" borderId="9" applyAlignment="1" pivotButton="0" quotePrefix="0" xfId="0">
      <alignment vertical="top" wrapText="1"/>
    </xf>
    <xf numFmtId="171" fontId="51" fillId="12" borderId="9" applyAlignment="1" pivotButton="0" quotePrefix="0" xfId="0">
      <alignment vertical="top" wrapText="1"/>
    </xf>
    <xf numFmtId="10" fontId="51" fillId="12" borderId="9" applyAlignment="1" pivotButton="0" quotePrefix="0" xfId="0">
      <alignment vertical="top" wrapText="1"/>
    </xf>
    <xf numFmtId="3" fontId="51" fillId="12" borderId="9" applyAlignment="1" pivotButton="0" quotePrefix="0" xfId="0">
      <alignment vertical="top" wrapText="1"/>
    </xf>
    <xf numFmtId="172" fontId="51" fillId="12" borderId="9" applyAlignment="1" pivotButton="0" quotePrefix="0" xfId="0">
      <alignment vertical="top" wrapText="1"/>
    </xf>
    <xf numFmtId="165" fontId="48" fillId="12" borderId="9" applyAlignment="1" pivotButton="0" quotePrefix="0" xfId="0">
      <alignment vertical="top" wrapText="1"/>
    </xf>
    <xf numFmtId="173" fontId="48" fillId="12" borderId="9" applyAlignment="1" pivotButton="0" quotePrefix="0" xfId="0">
      <alignment vertical="top" wrapText="1"/>
    </xf>
    <xf numFmtId="0" fontId="54" fillId="12" borderId="9" applyAlignment="1" pivotButton="0" quotePrefix="0" xfId="0">
      <alignment vertical="top" wrapText="1"/>
    </xf>
    <xf numFmtId="0" fontId="55" fillId="12" borderId="9" applyAlignment="1" pivotButton="0" quotePrefix="0" xfId="0">
      <alignment vertical="top" wrapText="1"/>
    </xf>
    <xf numFmtId="0" fontId="51" fillId="13" borderId="9" applyAlignment="1" pivotButton="0" quotePrefix="0" xfId="0">
      <alignment vertical="top" wrapText="1"/>
    </xf>
    <xf numFmtId="171" fontId="51" fillId="13" borderId="9" applyAlignment="1" pivotButton="0" quotePrefix="0" xfId="0">
      <alignment vertical="top" wrapText="1"/>
    </xf>
    <xf numFmtId="10" fontId="51" fillId="13" borderId="9" applyAlignment="1" pivotButton="0" quotePrefix="0" xfId="0">
      <alignment vertical="top" wrapText="1"/>
    </xf>
    <xf numFmtId="3" fontId="51" fillId="13" borderId="9" applyAlignment="1" pivotButton="0" quotePrefix="0" xfId="0">
      <alignment vertical="top" wrapText="1"/>
    </xf>
    <xf numFmtId="172" fontId="51" fillId="13" borderId="9" applyAlignment="1" pivotButton="0" quotePrefix="0" xfId="0">
      <alignment vertical="top" wrapText="1"/>
    </xf>
    <xf numFmtId="165" fontId="48" fillId="13" borderId="9" applyAlignment="1" pivotButton="0" quotePrefix="0" xfId="0">
      <alignment vertical="top" wrapText="1"/>
    </xf>
    <xf numFmtId="173" fontId="48" fillId="13" borderId="9" applyAlignment="1" pivotButton="0" quotePrefix="0" xfId="0">
      <alignment vertical="top" wrapText="1"/>
    </xf>
    <xf numFmtId="0" fontId="54" fillId="13" borderId="9" applyAlignment="1" pivotButton="0" quotePrefix="0" xfId="0">
      <alignment vertical="top" wrapText="1"/>
    </xf>
    <xf numFmtId="0" fontId="55" fillId="13" borderId="9" applyAlignment="1" pivotButton="0" quotePrefix="0" xfId="0">
      <alignment vertical="top" wrapText="1"/>
    </xf>
    <xf numFmtId="0" fontId="56" fillId="0" borderId="10" applyAlignment="1" pivotButton="0" quotePrefix="0" xfId="0">
      <alignment vertical="center"/>
    </xf>
    <xf numFmtId="171" fontId="56" fillId="0" borderId="10" applyAlignment="1" pivotButton="0" quotePrefix="0" xfId="0">
      <alignment vertical="center"/>
    </xf>
    <xf numFmtId="10" fontId="56" fillId="0" borderId="10" applyAlignment="1" pivotButton="0" quotePrefix="0" xfId="0">
      <alignment vertical="center"/>
    </xf>
    <xf numFmtId="3" fontId="56" fillId="0" borderId="1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top"/>
    </xf>
    <xf numFmtId="0" fontId="38" fillId="12" borderId="0" applyAlignment="1" pivotButton="0" quotePrefix="0" xfId="0">
      <alignment vertical="top" wrapText="1"/>
    </xf>
    <xf numFmtId="0" fontId="38" fillId="13" borderId="0" applyAlignment="1" pivotButton="0" quotePrefix="0" xfId="0">
      <alignment vertical="top" wrapText="1"/>
    </xf>
    <xf numFmtId="0" fontId="61" fillId="11" borderId="0" applyAlignment="1" pivotButton="0" quotePrefix="0" xfId="0">
      <alignment vertical="center"/>
    </xf>
    <xf numFmtId="0" fontId="56" fillId="12" borderId="9" applyAlignment="1" pivotButton="0" quotePrefix="0" xfId="0">
      <alignment vertical="center"/>
    </xf>
    <xf numFmtId="0" fontId="54" fillId="12" borderId="9" applyAlignment="1" pivotButton="0" quotePrefix="0" xfId="0">
      <alignment vertical="center"/>
    </xf>
    <xf numFmtId="167" fontId="48" fillId="12" borderId="9" applyAlignment="1" pivotButton="0" quotePrefix="0" xfId="0">
      <alignment horizontal="right" vertical="center"/>
    </xf>
    <xf numFmtId="168" fontId="48" fillId="12" borderId="9" applyAlignment="1" pivotButton="0" quotePrefix="0" xfId="0">
      <alignment horizontal="right" vertical="center"/>
    </xf>
    <xf numFmtId="0" fontId="62" fillId="12" borderId="9" applyAlignment="1" pivotButton="0" quotePrefix="0" xfId="0">
      <alignment vertical="center"/>
    </xf>
    <xf numFmtId="0" fontId="56" fillId="13" borderId="9" applyAlignment="1" pivotButton="0" quotePrefix="0" xfId="0">
      <alignment vertical="center"/>
    </xf>
    <xf numFmtId="0" fontId="54" fillId="13" borderId="9" applyAlignment="1" pivotButton="0" quotePrefix="0" xfId="0">
      <alignment vertical="center"/>
    </xf>
    <xf numFmtId="167" fontId="48" fillId="13" borderId="9" applyAlignment="1" pivotButton="0" quotePrefix="0" xfId="0">
      <alignment horizontal="right" vertical="center"/>
    </xf>
    <xf numFmtId="168" fontId="48" fillId="13" borderId="9" applyAlignment="1" pivotButton="0" quotePrefix="0" xfId="0">
      <alignment horizontal="right" vertical="center"/>
    </xf>
    <xf numFmtId="0" fontId="62" fillId="13" borderId="9" applyAlignment="1" pivotButton="0" quotePrefix="0" xfId="0">
      <alignment vertical="center"/>
    </xf>
    <xf numFmtId="0" fontId="37" fillId="3" borderId="0" applyAlignment="1" pivotButton="0" quotePrefix="0" xfId="0">
      <alignment horizontal="left" vertical="center"/>
    </xf>
    <xf numFmtId="165" fontId="63" fillId="7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 wrapText="1"/>
    </xf>
    <xf numFmtId="0" fontId="67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 wrapText="1"/>
    </xf>
    <xf numFmtId="0" fontId="69" fillId="3" borderId="0" applyAlignment="1" pivotButton="0" quotePrefix="0" xfId="0">
      <alignment vertical="center"/>
    </xf>
    <xf numFmtId="0" fontId="66" fillId="0" borderId="0" applyAlignment="1" pivotButton="0" quotePrefix="0" xfId="0">
      <alignment vertical="center" wrapText="1"/>
    </xf>
    <xf numFmtId="17" fontId="54" fillId="12" borderId="9" applyAlignment="1" pivotButton="0" quotePrefix="0" xfId="0">
      <alignment horizontal="left" vertical="center"/>
    </xf>
    <xf numFmtId="169" fontId="51" fillId="12" borderId="9" applyAlignment="1" pivotButton="0" quotePrefix="0" xfId="0">
      <alignment horizontal="right" vertical="center"/>
    </xf>
    <xf numFmtId="17" fontId="54" fillId="13" borderId="9" applyAlignment="1" pivotButton="0" quotePrefix="0" xfId="0">
      <alignment horizontal="left" vertical="center"/>
    </xf>
    <xf numFmtId="169" fontId="51" fillId="13" borderId="9" applyAlignment="1" pivotButton="0" quotePrefix="0" xfId="0">
      <alignment horizontal="right" vertical="center"/>
    </xf>
    <xf numFmtId="0" fontId="43" fillId="8" borderId="0" applyAlignment="1" pivotButton="0" quotePrefix="0" xfId="0">
      <alignment horizontal="center" vertical="center"/>
    </xf>
    <xf numFmtId="167" fontId="54" fillId="12" borderId="9" applyAlignment="1" pivotButton="0" quotePrefix="0" xfId="0">
      <alignment horizontal="right" vertical="center"/>
    </xf>
    <xf numFmtId="167" fontId="41" fillId="0" borderId="0" applyAlignment="1" pivotButton="0" quotePrefix="0" xfId="0">
      <alignment vertical="center"/>
    </xf>
    <xf numFmtId="167" fontId="54" fillId="13" borderId="9" applyAlignment="1" pivotButton="0" quotePrefix="0" xfId="0">
      <alignment horizontal="right" vertical="center"/>
    </xf>
    <xf numFmtId="0" fontId="56" fillId="0" borderId="0" applyAlignment="1" pivotButton="0" quotePrefix="0" xfId="0">
      <alignment vertical="center"/>
    </xf>
    <xf numFmtId="170" fontId="54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top" wrapText="1"/>
    </xf>
    <xf numFmtId="0" fontId="72" fillId="11" borderId="0" applyAlignment="1" pivotButton="0" quotePrefix="0" xfId="0">
      <alignment vertical="center" wrapText="1"/>
    </xf>
    <xf numFmtId="0" fontId="38" fillId="13" borderId="0" applyAlignment="1" pivotButton="0" quotePrefix="0" xfId="0">
      <alignment vertical="center" wrapText="1"/>
    </xf>
    <xf numFmtId="0" fontId="38" fillId="11" borderId="0" applyAlignment="1" pivotButton="0" quotePrefix="0" xfId="0">
      <alignment vertical="center" wrapText="1"/>
    </xf>
    <xf numFmtId="0" fontId="74" fillId="12" borderId="9" applyAlignment="1" pivotButton="0" quotePrefix="0" xfId="0">
      <alignment vertical="top" wrapText="1"/>
    </xf>
    <xf numFmtId="0" fontId="74" fillId="13" borderId="9" applyAlignment="1" pivotButton="0" quotePrefix="0" xfId="0">
      <alignment vertical="top" wrapText="1"/>
    </xf>
    <xf numFmtId="0" fontId="45" fillId="11" borderId="11" applyAlignment="1" pivotButton="0" quotePrefix="0" xfId="0">
      <alignment horizontal="left" vertical="bottom"/>
    </xf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72" fontId="51" fillId="12" borderId="9" applyAlignment="1" pivotButton="0" quotePrefix="0" xfId="0">
      <alignment horizontal="left" vertical="top" wrapText="1"/>
    </xf>
    <xf numFmtId="172" fontId="51" fillId="13" borderId="9" applyAlignment="1" pivotButton="0" quotePrefix="0" xfId="0">
      <alignment horizontal="left" vertical="top" wrapText="1"/>
    </xf>
    <xf numFmtId="10" fontId="63" fillId="7" borderId="0" applyAlignment="1" pivotButton="0" quotePrefix="0" xfId="0">
      <alignment vertical="center"/>
    </xf>
    <xf numFmtId="174" fontId="0" fillId="0" borderId="0" pivotButton="0" quotePrefix="0" xfId="0"/>
    <xf numFmtId="10" fontId="51" fillId="12" borderId="9" applyAlignment="1" pivotButton="0" quotePrefix="0" xfId="0">
      <alignment horizontal="right" vertical="center"/>
    </xf>
    <xf numFmtId="174" fontId="51" fillId="12" borderId="9" applyAlignment="1" pivotButton="0" quotePrefix="0" xfId="0">
      <alignment horizontal="right" vertical="center"/>
    </xf>
    <xf numFmtId="174" fontId="0" fillId="0" borderId="0" pivotButton="0" quotePrefix="0" xfId="0"/>
    <xf numFmtId="174" fontId="51" fillId="12" borderId="9" applyAlignment="1" pivotButton="0" quotePrefix="0" xfId="0">
      <alignment horizontal="right" vertical="center"/>
    </xf>
    <xf numFmtId="172" fontId="54" fillId="12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Source note</author>
    <author>Source</author>
  </authors>
  <commentList>
    <comment ref="F6" authorId="0" shapeId="0">
      <text>
        <t>Issuer-reported AUM. As of 2026-09-18. Source: https://www.ishares.com/us/products/239637/ishares-msci-emerging-markets-etf</t>
      </text>
    </comment>
    <comment ref="G6" authorId="0" shapeId="0">
      <text>
        <t>Issuer-reported expense ratio. Current prospectus (accessed 2026-09-19). Source: https://www.ishares.com/us/products/239637/ishares-msci-emerging-markets-etf</t>
      </text>
    </comment>
    <comment ref="H6" authorId="0" shapeId="0">
      <text>
        <t>Issuer-reported holdings. As of 2026-09-17. Source: https://www.ishares.com/us/products/239637/ishares-msci-emerging-markets-etf</t>
      </text>
    </comment>
    <comment ref="I6" authorId="1" shapeId="0">
      <text>
        <t>Source: https://www.ishares.com/us/products/239637/ishares-msci-emerging-markets-etf</t>
      </text>
    </comment>
    <comment ref="F7" authorId="0" shapeId="0">
      <text>
        <t>Issuer-reported AUM. As of 2026-09-18. Source: https://www.ishares.com/us/products/244050/ishares-core-msci-emerging-markets-etf</t>
      </text>
    </comment>
    <comment ref="G7" authorId="0" shapeId="0">
      <text>
        <t>Issuer-reported expense ratio. Current prospectus (accessed 2026-09-19). Source: https://www.ishares.com/us/products/244050/ishares-core-msci-emerging-markets-etf</t>
      </text>
    </comment>
    <comment ref="H7" authorId="0" shapeId="0">
      <text>
        <t>Issuer-reported holdings. As of 2026-09-17. Source: https://www.ishares.com/us/products/244050/ishares-core-msci-emerging-markets-etf</t>
      </text>
    </comment>
    <comment ref="I7" authorId="1" shapeId="0">
      <text>
        <t>Source: https://www.ishares.com/us/products/244050/ishares-core-msci-emerging-markets-etf</t>
      </text>
    </comment>
    <comment ref="F8" authorId="0" shapeId="0">
      <text>
        <t>Issuer-reported AUM. As of 2026-08-31. Source: https://advisors.vanguard.com/investments/products/vwo/vanguard-ftse-emerging-markets-etf</t>
      </text>
    </comment>
    <comment ref="G8" authorId="0" shapeId="0">
      <text>
        <t>Issuer-reported expense ratio. 2026-02-27. Source: https://advisors.vanguard.com/investments/products/vwo/vanguard-ftse-emerging-markets-etf</t>
      </text>
    </comment>
    <comment ref="H8" authorId="0" shapeId="0">
      <text>
        <t>Issuer-reported holdings. As of 2026-07-31. Source: https://advisors.vanguard.com/investments/products/vwo/vanguard-ftse-emerging-markets-etf</t>
      </text>
    </comment>
    <comment ref="I8" authorId="1" shapeId="0">
      <text>
        <t>Source: https://advisors.vanguard.com/investments/products/vwo/vanguard-ftse-emerging-markets-etf</t>
      </text>
    </comment>
    <comment ref="F9" authorId="0" shapeId="0">
      <text>
        <t>Issuer-reported AUM. As of 2026-09-16. Source: https://www.ssga.com/us/en/individual/etfs/state-street-spdr-portfolio-emerging-markets-etf-spem</t>
      </text>
    </comment>
    <comment ref="G9" authorId="0" shapeId="0">
      <text>
        <t>Issuer-reported expense ratio. Fund information as of 2026-09-17. Source: https://www.ssga.com/us/en/individual/etfs/state-street-spdr-portfolio-emerging-markets-etf-spem</t>
      </text>
    </comment>
    <comment ref="H9" authorId="0" shapeId="0">
      <text>
        <t>Issuer-reported holdings. As of 2026-09-16. Source: https://www.ssga.com/us/en/individual/etfs/state-street-spdr-portfolio-emerging-markets-etf-spem</t>
      </text>
    </comment>
    <comment ref="I9" authorId="1" shapeId="0">
      <text>
        <t>Source: https://www.ssga.com/us/en/individual/etfs/state-street-spdr-portfolio-emerging-markets-etf-spem</t>
      </text>
    </comment>
    <comment ref="F10" authorId="0" shapeId="0">
      <text>
        <t>Issuer-reported AUM. As of 2026-09-18. Source: https://www.schwabassetmanagement.com/products/sche</t>
      </text>
    </comment>
    <comment ref="G10" authorId="0" shapeId="0">
      <text>
        <t>Issuer-reported expense ratio. 0.06% effective 2026-06-11; page accessed 2026-09-19. Source: https://www.schwabassetmanagement.com/products/sche</t>
      </text>
    </comment>
    <comment ref="H10" authorId="0" shapeId="0">
      <text>
        <t>Issuer-reported holdings. As of 2026-09-17. Source: https://www.schwabassetmanagement.com/products/sche</t>
      </text>
    </comment>
    <comment ref="I10" authorId="1" shapeId="0">
      <text>
        <t>Source: https://www.schwabassetmanagement.com/products/sche</t>
      </text>
    </comment>
  </commentList>
</comments>
</file>

<file path=xl/comments/comment2.xml><?xml version="1.0" encoding="utf-8"?>
<comments xmlns="http://schemas.openxmlformats.org/spreadsheetml/2006/main">
  <authors>
    <author>Source note</author>
  </authors>
  <commentList>
    <comment ref="B4" authorId="0" shapeId="0">
      <text>
        <t>Month-end adjusted-price history, Aug 2023 through Aug 2026.
Source: https://www.digrin.com/stocks/detail/SPY/price
Verified against the published Digrin monthly table on 2026-09-19.</t>
      </text>
    </comment>
    <comment ref="C4" authorId="0" shapeId="0">
      <text>
        <t>Month-end adjusted-price history, Aug 2023 through Aug 2026.
Source: https://www.digrin.com/stocks/detail/QQQ/price
Verified against the published Digrin monthly table on 2026-09-19.</t>
      </text>
    </comment>
    <comment ref="D4" authorId="0" shapeId="0">
      <text>
        <t>Month-end adjusted-price history, Aug 2023 through Aug 2026.
Source: https://www.digrin.com/stocks/detail/IWM/price
Verified against the published Digrin monthly table on 2026-09-19.</t>
      </text>
    </comment>
    <comment ref="E4" authorId="0" shapeId="0">
      <text>
        <t>Month-end adjusted-price history, Aug 2023 through Aug 2026.
Source: https://www.digrin.com/stocks/detail/EFA/price
Verified against the published Digrin monthly table on 2026-09-19.</t>
      </text>
    </comment>
    <comment ref="F4" authorId="0" shapeId="0">
      <text>
        <t>Month-end adjusted-price history, Aug 2023 through Aug 2026.
Source: https://www.digrin.com/stocks/detail/EEM/price
Verified against the published Digrin monthly table on 2026-09-19.</t>
      </text>
    </comment>
    <comment ref="G4" authorId="0" shapeId="0">
      <text>
        <t>Month-end adjusted-price history, Aug 2023 through Aug 2026.
Source: https://www.digrin.com/stocks/detail/AGG/price
Verified against the published Digrin monthly table on 2026-09-19.</t>
      </text>
    </comment>
    <comment ref="H4" authorId="0" shapeId="0">
      <text>
        <t>Month-end adjusted-price history, Aug 2023 through Aug 2026.
Source: https://www.digrin.com/stocks/detail/LQD/price
Verified against the published Digrin monthly table on 2026-09-19.</t>
      </text>
    </comment>
    <comment ref="I4" authorId="0" shapeId="0">
      <text>
        <t>Month-end adjusted-price history, Aug 2023 through Aug 2026.
Source: https://www.digrin.com/stocks/detail/HYG/price
Verified against the published Digrin monthly table on 2026-09-19.</t>
      </text>
    </comment>
    <comment ref="J4" authorId="0" shapeId="0">
      <text>
        <t>Month-end adjusted-price history, Aug 2023 through Aug 2026.
Source: https://www.digrin.com/stocks/detail/GLD/price
Verified against the published Digrin monthly table on 2026-09-19.</t>
      </text>
    </comment>
    <comment ref="K4" authorId="0" shapeId="0">
      <text>
        <t>Month-end adjusted-price history, Aug 2023 through Aug 2026.
Source: https://www.digrin.com/stocks/detail/VNQ/price
Verified against the published Digrin monthly table on 2026-09-19.</t>
      </text>
    </comment>
  </commentList>
</comments>
</file>

<file path=xl/comments/comment3.xml><?xml version="1.0" encoding="utf-8"?>
<comments xmlns="http://schemas.openxmlformats.org/spreadsheetml/2006/main">
  <authors>
    <author>Source note</author>
    <author>Method note</author>
  </authors>
  <commentList>
    <comment ref="B4" authorId="0" shapeId="0">
      <text>
        <t>Federal Reserve Board H.15 series DGS3MO, accessed through FRED. Values are the last available business-day observation for each return month.</t>
      </text>
    </comment>
    <comment ref="C4" authorId="1" shapeId="0">
      <text>
        <t>Derived from the annual yield as (1 + annual yield)^(1/12) - 1. Used only to compute monthly excess returns.</t>
      </text>
    </comment>
    <comment ref="B5" authorId="0" shapeId="0">
      <text>
        <t>FRED DGS3MO observation dated 2023-09-29; used as the last available business-day yield for return month 2023-09. Source: https://fred.stlouisfed.org/series/DGS3MO</t>
      </text>
    </comment>
    <comment ref="B6" authorId="0" shapeId="0">
      <text>
        <t>FRED DGS3MO observation dated 2023-10-31; used as the last available business-day yield for return month 2023-10. Source: https://fred.stlouisfed.org/series/DGS3MO</t>
      </text>
    </comment>
    <comment ref="B7" authorId="0" shapeId="0">
      <text>
        <t>FRED DGS3MO observation dated 2023-11-30; used as the last available business-day yield for return month 2023-11. Source: https://fred.stlouisfed.org/series/DGS3MO</t>
      </text>
    </comment>
    <comment ref="B8" authorId="0" shapeId="0">
      <text>
        <t>FRED DGS3MO observation dated 2023-12-29; used as the last available business-day yield for return month 2023-12. Source: https://fred.stlouisfed.org/series/DGS3MO</t>
      </text>
    </comment>
    <comment ref="B9" authorId="0" shapeId="0">
      <text>
        <t>FRED DGS3MO observation dated 2024-01-31; used as the last available business-day yield for return month 2024-01. Source: https://fred.stlouisfed.org/series/DGS3MO</t>
      </text>
    </comment>
    <comment ref="B10" authorId="0" shapeId="0">
      <text>
        <t>FRED DGS3MO observation dated 2024-02-29; used as the last available business-day yield for return month 2024-02. Source: https://fred.stlouisfed.org/series/DGS3MO</t>
      </text>
    </comment>
    <comment ref="B11" authorId="0" shapeId="0">
      <text>
        <t>FRED DGS3MO observation dated 2024-03-28; used as the last available business-day yield for return month 2024-03. Source: https://fred.stlouisfed.org/series/DGS3MO</t>
      </text>
    </comment>
    <comment ref="B12" authorId="0" shapeId="0">
      <text>
        <t>FRED DGS3MO observation dated 2024-04-30; used as the last available business-day yield for return month 2024-04. Source: https://fred.stlouisfed.org/series/DGS3MO</t>
      </text>
    </comment>
    <comment ref="B13" authorId="0" shapeId="0">
      <text>
        <t>FRED DGS3MO observation dated 2024-05-31; used as the last available business-day yield for return month 2024-05. Source: https://fred.stlouisfed.org/series/DGS3MO</t>
      </text>
    </comment>
    <comment ref="B14" authorId="0" shapeId="0">
      <text>
        <t>FRED DGS3MO observation dated 2024-06-28; used as the last available business-day yield for return month 2024-06. Source: https://fred.stlouisfed.org/series/DGS3MO</t>
      </text>
    </comment>
    <comment ref="B15" authorId="0" shapeId="0">
      <text>
        <t>FRED DGS3MO observation dated 2024-07-31; used as the last available business-day yield for return month 2024-07. Source: https://fred.stlouisfed.org/series/DGS3MO</t>
      </text>
    </comment>
    <comment ref="B16" authorId="0" shapeId="0">
      <text>
        <t>FRED DGS3MO observation dated 2024-08-30; used as the last available business-day yield for return month 2024-08. Source: https://fred.stlouisfed.org/series/DGS3MO</t>
      </text>
    </comment>
    <comment ref="B17" authorId="0" shapeId="0">
      <text>
        <t>FRED DGS3MO observation dated 2024-09-30; used as the last available business-day yield for return month 2024-09. Source: https://fred.stlouisfed.org/series/DGS3MO</t>
      </text>
    </comment>
    <comment ref="B18" authorId="0" shapeId="0">
      <text>
        <t>FRED DGS3MO observation dated 2024-10-31; used as the last available business-day yield for return month 2024-10. Source: https://fred.stlouisfed.org/series/DGS3MO</t>
      </text>
    </comment>
    <comment ref="B19" authorId="0" shapeId="0">
      <text>
        <t>FRED DGS3MO observation dated 2024-11-29; used as the last available business-day yield for return month 2024-11. Source: https://fred.stlouisfed.org/series/DGS3MO</t>
      </text>
    </comment>
    <comment ref="B20" authorId="0" shapeId="0">
      <text>
        <t>FRED DGS3MO observation dated 2024-12-31; used as the last available business-day yield for return month 2024-12. Source: https://fred.stlouisfed.org/series/DGS3MO</t>
      </text>
    </comment>
    <comment ref="B21" authorId="0" shapeId="0">
      <text>
        <t>FRED DGS3MO observation dated 2025-01-31; used as the last available business-day yield for return month 2025-01. Source: https://fred.stlouisfed.org/series/DGS3MO</t>
      </text>
    </comment>
    <comment ref="B22" authorId="0" shapeId="0">
      <text>
        <t>FRED DGS3MO observation dated 2025-02-28; used as the last available business-day yield for return month 2025-02. Source: https://fred.stlouisfed.org/series/DGS3MO</t>
      </text>
    </comment>
    <comment ref="B23" authorId="0" shapeId="0">
      <text>
        <t>FRED DGS3MO observation dated 2025-03-31; used as the last available business-day yield for return month 2025-03. Source: https://fred.stlouisfed.org/series/DGS3MO</t>
      </text>
    </comment>
    <comment ref="B24" authorId="0" shapeId="0">
      <text>
        <t>FRED DGS3MO observation dated 2025-04-30; used as the last available business-day yield for return month 2025-04. Source: https://fred.stlouisfed.org/series/DGS3MO</t>
      </text>
    </comment>
    <comment ref="B25" authorId="0" shapeId="0">
      <text>
        <t>FRED DGS3MO observation dated 2025-05-30; used as the last available business-day yield for return month 2025-05. Source: https://fred.stlouisfed.org/series/DGS3MO</t>
      </text>
    </comment>
    <comment ref="B26" authorId="0" shapeId="0">
      <text>
        <t>FRED DGS3MO observation dated 2025-06-30; used as the last available business-day yield for return month 2025-06. Source: https://fred.stlouisfed.org/series/DGS3MO</t>
      </text>
    </comment>
    <comment ref="B27" authorId="0" shapeId="0">
      <text>
        <t>FRED DGS3MO observation dated 2025-07-31; used as the last available business-day yield for return month 2025-07. Source: https://fred.stlouisfed.org/series/DGS3MO</t>
      </text>
    </comment>
    <comment ref="B28" authorId="0" shapeId="0">
      <text>
        <t>FRED DGS3MO observation dated 2025-08-29; used as the last available business-day yield for return month 2025-08. Source: https://fred.stlouisfed.org/series/DGS3MO</t>
      </text>
    </comment>
    <comment ref="B29" authorId="0" shapeId="0">
      <text>
        <t>FRED DGS3MO observation dated 2025-09-30; used as the last available business-day yield for return month 2025-09. Source: https://fred.stlouisfed.org/series/DGS3MO</t>
      </text>
    </comment>
    <comment ref="B30" authorId="0" shapeId="0">
      <text>
        <t>FRED DGS3MO observation dated 2025-10-31; used as the last available business-day yield for return month 2025-10. Source: https://fred.stlouisfed.org/series/DGS3MO</t>
      </text>
    </comment>
    <comment ref="B31" authorId="0" shapeId="0">
      <text>
        <t>FRED DGS3MO observation dated 2025-11-28; used as the last available business-day yield for return month 2025-11. Source: https://fred.stlouisfed.org/series/DGS3MO</t>
      </text>
    </comment>
    <comment ref="B32" authorId="0" shapeId="0">
      <text>
        <t>FRED DGS3MO observation dated 2025-12-31; used as the last available business-day yield for return month 2025-12. Source: https://fred.stlouisfed.org/series/DGS3MO</t>
      </text>
    </comment>
    <comment ref="B33" authorId="0" shapeId="0">
      <text>
        <t>FRED DGS3MO observation dated 2026-01-30; used as the last available business-day yield for return month 2026-01. Source: https://fred.stlouisfed.org/series/DGS3MO</t>
      </text>
    </comment>
    <comment ref="B34" authorId="0" shapeId="0">
      <text>
        <t>FRED DGS3MO observation dated 2026-02-27; used as the last available business-day yield for return month 2026-02. Source: https://fred.stlouisfed.org/series/DGS3MO</t>
      </text>
    </comment>
    <comment ref="B35" authorId="0" shapeId="0">
      <text>
        <t>FRED DGS3MO observation dated 2026-03-31; used as the last available business-day yield for return month 2026-03. Source: https://fred.stlouisfed.org/series/DGS3MO</t>
      </text>
    </comment>
    <comment ref="B36" authorId="0" shapeId="0">
      <text>
        <t>FRED DGS3MO observation dated 2026-04-30; used as the last available business-day yield for return month 2026-04. Source: https://fred.stlouisfed.org/series/DGS3MO</t>
      </text>
    </comment>
    <comment ref="B37" authorId="0" shapeId="0">
      <text>
        <t>FRED DGS3MO observation dated 2026-05-29; used as the last available business-day yield for return month 2026-05. Source: https://fred.stlouisfed.org/series/DGS3MO</t>
      </text>
    </comment>
    <comment ref="B38" authorId="0" shapeId="0">
      <text>
        <t>FRED DGS3MO observation dated 2026-06-30; used as the last available business-day yield for return month 2026-06. Source: https://fred.stlouisfed.org/series/DGS3MO</t>
      </text>
    </comment>
    <comment ref="B39" authorId="0" shapeId="0">
      <text>
        <t>FRED DGS3MO observation dated 2026-07-31; used as the last available business-day yield for return month 2026-07. Source: https://fred.stlouisfed.org/series/DGS3MO</t>
      </text>
    </comment>
    <comment ref="B40" authorId="0" shapeId="0">
      <text>
        <t>FRED DGS3MO observation dated 2026-08-31; used as the last available business-day yield for return month 2026-08. Source: https://fred.stlouisfed.org/series/DGS3MO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20812125" cy="1257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0821650" cy="1257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20850225" cy="1257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18297525" cy="15068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shares.com/us/products/239637/ishares-msci-emerging-markets-etf" TargetMode="External" Id="rId1"/><Relationship Type="http://schemas.openxmlformats.org/officeDocument/2006/relationships/hyperlink" Target="https://www.ishares.com/us/products/244050/ishares-core-msci-emerging-markets-etf" TargetMode="External" Id="rId2"/><Relationship Type="http://schemas.openxmlformats.org/officeDocument/2006/relationships/hyperlink" Target="https://advisors.vanguard.com/investments/products/vwo/vanguard-ftse-emerging-markets-etf" TargetMode="External" Id="rId3"/><Relationship Type="http://schemas.openxmlformats.org/officeDocument/2006/relationships/hyperlink" Target="https://www.ssga.com/us/en/individual/etfs/state-street-spdr-portfolio-emerging-markets-etf-spem" TargetMode="External" Id="rId4"/><Relationship Type="http://schemas.openxmlformats.org/officeDocument/2006/relationships/hyperlink" Target="https://www.schwabassetmanagement.com/products/sche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morganstanley.tal.net/vx/candidate/so/pm/1/pl/1/opp/20910" TargetMode="External" Id="rId1"/><Relationship Type="http://schemas.openxmlformats.org/officeDocument/2006/relationships/hyperlink" Target="https://www.morganstanley.com/im/en-us/individual-investor/campaigns/our-etfs.html" TargetMode="External" Id="rId2"/><Relationship Type="http://schemas.openxmlformats.org/officeDocument/2006/relationships/hyperlink" Target="https://www.morganstanley.com/im/en-us/capital-seeker/about-us/news-and-insights/press-release/msim-expands-etp-offerings-with-launch-of-ethereum-and-solana-exchange-traded-products.html" TargetMode="External" Id="rId3"/><Relationship Type="http://schemas.openxmlformats.org/officeDocument/2006/relationships/hyperlink" Target="https://www.ishares.com/us/products/239637/ishares-msci-emerging-markets-etf" TargetMode="External" Id="rId4"/><Relationship Type="http://schemas.openxmlformats.org/officeDocument/2006/relationships/hyperlink" Target="https://www.ishares.com/us/products/244050/ishares-core-msci-emerging-markets-etf" TargetMode="External" Id="rId5"/><Relationship Type="http://schemas.openxmlformats.org/officeDocument/2006/relationships/hyperlink" Target="https://advisors.vanguard.com/investments/products/vwo/vanguard-ftse-emerging-markets-etf" TargetMode="External" Id="rId6"/><Relationship Type="http://schemas.openxmlformats.org/officeDocument/2006/relationships/hyperlink" Target="https://www.ssga.com/us/en/individual/etfs/state-street-spdr-portfolio-emerging-markets-etf-spem" TargetMode="External" Id="rId7"/><Relationship Type="http://schemas.openxmlformats.org/officeDocument/2006/relationships/hyperlink" Target="https://www.schwabassetmanagement.com/products/sche" TargetMode="External" Id="rId8"/><Relationship Type="http://schemas.openxmlformats.org/officeDocument/2006/relationships/hyperlink" Target="https://www.digrin.com/stocks/detail/SPY/price" TargetMode="External" Id="rId9"/><Relationship Type="http://schemas.openxmlformats.org/officeDocument/2006/relationships/hyperlink" Target="https://www.digrin.com/stocks/detail/QQQ/price" TargetMode="External" Id="rId10"/><Relationship Type="http://schemas.openxmlformats.org/officeDocument/2006/relationships/hyperlink" Target="https://www.digrin.com/stocks/detail/IWM/price" TargetMode="External" Id="rId11"/><Relationship Type="http://schemas.openxmlformats.org/officeDocument/2006/relationships/hyperlink" Target="https://www.digrin.com/stocks/detail/EFA/price" TargetMode="External" Id="rId12"/><Relationship Type="http://schemas.openxmlformats.org/officeDocument/2006/relationships/hyperlink" Target="https://www.digrin.com/stocks/detail/EEM/price" TargetMode="External" Id="rId13"/><Relationship Type="http://schemas.openxmlformats.org/officeDocument/2006/relationships/hyperlink" Target="https://www.digrin.com/stocks/detail/AGG/price" TargetMode="External" Id="rId14"/><Relationship Type="http://schemas.openxmlformats.org/officeDocument/2006/relationships/hyperlink" Target="https://www.digrin.com/stocks/detail/LQD/price" TargetMode="External" Id="rId15"/><Relationship Type="http://schemas.openxmlformats.org/officeDocument/2006/relationships/hyperlink" Target="https://www.digrin.com/stocks/detail/HYG/price" TargetMode="External" Id="rId16"/><Relationship Type="http://schemas.openxmlformats.org/officeDocument/2006/relationships/hyperlink" Target="https://www.digrin.com/stocks/detail/GLD/price" TargetMode="External" Id="rId17"/><Relationship Type="http://schemas.openxmlformats.org/officeDocument/2006/relationships/hyperlink" Target="https://www.digrin.com/stocks/detail/VNQ/price" TargetMode="External" Id="rId18"/></Relationships>
</file>

<file path=xl/worksheets/sheet1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J18"/>
  <sheetViews>
    <sheetView showGridLines="0" zoomScale="95" workbookViewId="0"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57" t="inlineStr">
        <is>
          <t>How to Use This Workbook</t>
        </is>
      </c>
    </row>
    <row r="2" ht="28" customHeight="1">
      <c r="A2" s="58" t="inlineStr">
        <is>
          <t>Designed as a portfolio artifact for the 2027 Morgan Stanley Investment Management Summer Analyst – Strategic Functions application.</t>
        </is>
      </c>
    </row>
    <row r="4" ht="22" customHeight="1">
      <c r="A4" s="59" t="inlineStr">
        <is>
          <t>Workflow</t>
        </is>
      </c>
    </row>
    <row r="6" ht="30" customHeight="1">
      <c r="A6" s="60" t="inlineStr">
        <is>
          <t>1. Review the peer set</t>
        </is>
      </c>
      <c r="B6" s="61" t="inlineStr">
        <is>
          <t>Product Landscape contains the five-fund EM competitor scan and the peer-set economics.</t>
        </is>
      </c>
    </row>
    <row r="7" ht="30" customHeight="1">
      <c r="A7" s="60" t="inlineStr">
        <is>
          <t>2. Review the risk analysis</t>
        </is>
      </c>
      <c r="B7" s="61" t="inlineStr">
        <is>
          <t>Risk Analytics and Correlation Matrix contain the formula-driven three-year calculations.</t>
        </is>
      </c>
    </row>
    <row r="8" ht="30" customHeight="1">
      <c r="A8" s="60" t="inlineStr">
        <is>
          <t>3. Reproduce the analysis</t>
        </is>
      </c>
      <c r="B8" s="61" t="inlineStr">
        <is>
          <t>Run analysis.py to rebuild the risk metrics, correlation CSV, and four charts from the bundled source data.</t>
        </is>
      </c>
    </row>
    <row r="9" ht="30" customHeight="1">
      <c r="A9" s="60" t="inlineStr">
        <is>
          <t>4. Read the strategy case</t>
        </is>
      </c>
      <c r="B9" s="61" t="inlineStr">
        <is>
          <t>Strategy Case connects the competitive evidence and risk results to the hypothetical product concept.</t>
        </is>
      </c>
    </row>
    <row r="10" ht="30" customHeight="1">
      <c r="A10" s="60" t="inlineStr">
        <is>
          <t>5. Use the project publicly</t>
        </is>
      </c>
      <c r="B10" s="61" t="inlineStr">
        <is>
          <t>Use the workbook, README, charts, and concise resume bullets as the portfolio package.</t>
        </is>
      </c>
    </row>
    <row r="13" ht="22" customHeight="1">
      <c r="A13" s="59" t="inlineStr">
        <is>
          <t>Important Note</t>
        </is>
      </c>
    </row>
    <row r="15" ht="23" customHeight="1">
      <c r="A15" s="62" t="inlineStr">
        <is>
          <t>The embedded results use month-end adjusted prices from Aug 2023 through Aug 2026. Month-end drawdown can understate intramonth losses, and the historical VaR estimate uses only 36 monthly returns. Treat these as portfolio-project diagnostics rather than production risk estimates; refresh current product fields before an interview.</t>
        </is>
      </c>
    </row>
    <row r="16" ht="23" customHeight="1"/>
    <row r="17" ht="23" customHeight="1"/>
    <row r="18" ht="23" customHeight="1"/>
  </sheetData>
  <mergeCells count="10">
    <mergeCell ref="B7:J7"/>
    <mergeCell ref="A1:J1"/>
    <mergeCell ref="B10:J10"/>
    <mergeCell ref="B9:J9"/>
    <mergeCell ref="A4:J4"/>
    <mergeCell ref="B8:J8"/>
    <mergeCell ref="A2:J2"/>
    <mergeCell ref="A15:J18"/>
    <mergeCell ref="B6:J6"/>
    <mergeCell ref="A13:J13"/>
  </mergeCells>
  <pageMargins left="0.25" right="0.25" top="0.4" bottom="0.4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30"/>
  <sheetViews>
    <sheetView showGridLines="0" zoomScale="90" workbookViewId="0"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4" customWidth="1" min="6" max="6"/>
    <col width="12" customWidth="1" min="7" max="7"/>
    <col width="12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63" t="inlineStr">
        <is>
          <t>ETF Product Strategy &amp; Risk Analytics</t>
        </is>
      </c>
    </row>
    <row r="2" ht="25" customHeight="1">
      <c r="A2" s="58" t="inlineStr">
        <is>
          <t>Morgan Stanley Investment Management – Strategic Functions portfolio project | Competitive landscape + quantitative risk framework</t>
        </is>
      </c>
    </row>
    <row r="4" ht="22" customHeight="1">
      <c r="A4" s="59" t="inlineStr">
        <is>
          <t>Executive Snapshot</t>
        </is>
      </c>
    </row>
    <row r="6" ht="22" customHeight="1">
      <c r="A6" s="138" t="inlineStr">
        <is>
          <t>Selected Peer AUM</t>
        </is>
      </c>
      <c r="B6" s="139" t="n"/>
      <c r="C6" s="140" t="n"/>
      <c r="D6" s="138" t="inlineStr">
        <is>
          <t>Lowest Expense Ratio</t>
        </is>
      </c>
      <c r="E6" s="139" t="n"/>
      <c r="F6" s="140" t="n"/>
      <c r="G6" s="138" t="inlineStr">
        <is>
          <t>Median Expense Ratio</t>
        </is>
      </c>
      <c r="H6" s="139" t="n"/>
      <c r="I6" s="140" t="n"/>
      <c r="J6" s="138" t="inlineStr">
        <is>
          <t>Largest Fund AUM</t>
        </is>
      </c>
      <c r="K6" s="139" t="n"/>
      <c r="L6" s="140" t="n"/>
    </row>
    <row r="7" ht="27" customHeight="1">
      <c r="A7" s="65">
        <f>SUM('Product Landscape'!F6:F10)</f>
        <v/>
      </c>
      <c r="C7" s="141" t="n"/>
      <c r="D7" s="66">
        <f>MIN('Product Landscape'!G6:G10)</f>
        <v/>
      </c>
      <c r="F7" s="141" t="n"/>
      <c r="G7" s="66">
        <f>MEDIAN('Product Landscape'!G6:G10)</f>
        <v/>
      </c>
      <c r="I7" s="141" t="n"/>
      <c r="J7" s="65">
        <f>MAX('Product Landscape'!F6:F10)</f>
        <v/>
      </c>
      <c r="L7" s="141" t="n"/>
    </row>
    <row r="8" ht="10" customHeight="1">
      <c r="A8" s="142" t="n"/>
      <c r="B8" s="143" t="n"/>
      <c r="C8" s="144" t="n"/>
      <c r="D8" s="142" t="n"/>
      <c r="E8" s="143" t="n"/>
      <c r="F8" s="144" t="n"/>
      <c r="G8" s="142" t="n"/>
      <c r="H8" s="143" t="n"/>
      <c r="I8" s="144" t="n"/>
      <c r="J8" s="142" t="n"/>
      <c r="K8" s="143" t="n"/>
      <c r="L8" s="144" t="n"/>
    </row>
    <row r="10" ht="22" customHeight="1">
      <c r="A10" s="59" t="inlineStr">
        <is>
          <t>What the Combined Data Says</t>
        </is>
      </c>
    </row>
    <row r="12" ht="31" customHeight="1">
      <c r="A12" s="67" t="inlineStr">
        <is>
          <t>• Broad EM beta is already fee-compressed: four of the five selected peers charge 0.06%–0.09%, so price alone is a weak entry strategy.</t>
        </is>
      </c>
    </row>
    <row r="13" ht="31" customHeight="1">
      <c r="A13" s="68" t="inlineStr">
        <is>
          <t>• EEM returned 83.8% over Aug 2023–Aug 2026 (22.5% CAGR) with 15.4% annualized volatility and 0.79 beta to SPY.</t>
        </is>
      </c>
    </row>
    <row r="14" ht="31" customHeight="1">
      <c r="A14" s="67" t="inlineStr">
        <is>
          <t>• Cross-asset results reinforce the value of risk architecture: GLD had ~0.02 correlation with SPY, while high yield remained strongly equity-sensitive.</t>
        </is>
      </c>
    </row>
    <row r="15" ht="31" customHeight="1">
      <c r="A15" s="68" t="inlineStr">
        <is>
          <t>• Product implication: test a differentiated systematic EM proposition with quality, concentration, liquidity, and drawdown controls rather than another broad-beta clone.</t>
        </is>
      </c>
    </row>
    <row r="17" ht="22" customHeight="1">
      <c r="A17" s="59" t="inlineStr">
        <is>
          <t>Illustrative Product Recommendation</t>
        </is>
      </c>
    </row>
    <row r="19" ht="24" customHeight="1">
      <c r="A19" s="69" t="inlineStr">
        <is>
          <t>Working concept: MSIM Emerging Markets Quality &amp; Risk ETF (hypothetical)</t>
        </is>
      </c>
    </row>
    <row r="20" ht="22" customHeight="1">
      <c r="A20" s="70" t="inlineStr">
        <is>
          <t>Positioning: differentiated systematic exposure rather than another fee-led broad-market clone.
Portfolio design: profitability / balance-sheet quality signals plus country, sector, liquidity, and concentration controls.
Commercial test: validate demand, fee tolerance, distribution fit, tracking error, capacity, and implementation costs before launch.</t>
        </is>
      </c>
    </row>
    <row r="21" ht="22" customHeight="1"/>
    <row r="22" ht="22" customHeight="1"/>
    <row r="23" ht="22" customHeight="1"/>
    <row r="25" ht="22" customHeight="1">
      <c r="A25" s="59" t="inlineStr">
        <is>
          <t>Project Deliverables</t>
        </is>
      </c>
    </row>
    <row r="27" ht="25" customHeight="1">
      <c r="A27" s="71" t="inlineStr">
        <is>
          <t>1</t>
        </is>
      </c>
      <c r="B27" s="72" t="inlineStr">
        <is>
          <t>Market / competitor scan</t>
        </is>
      </c>
      <c r="C27" s="73" t="inlineStr">
        <is>
          <t>Compare issuer, benchmark, AUM, fees, breadth, and positioning.</t>
        </is>
      </c>
    </row>
    <row r="28" ht="25" customHeight="1">
      <c r="A28" s="71" t="inlineStr">
        <is>
          <t>2</t>
        </is>
      </c>
      <c r="B28" s="72" t="inlineStr">
        <is>
          <t>Quantitative risk engine</t>
        </is>
      </c>
      <c r="C28" s="73" t="inlineStr">
        <is>
          <t>Python pipeline for return, volatility, Sharpe, Sortino, drawdown, VaR, beta, and correlations.</t>
        </is>
      </c>
    </row>
    <row r="29" ht="25" customHeight="1">
      <c r="A29" s="71" t="inlineStr">
        <is>
          <t>3</t>
        </is>
      </c>
      <c r="B29" s="72" t="inlineStr">
        <is>
          <t>Excel decision dashboard</t>
        </is>
      </c>
      <c r="C29" s="73" t="inlineStr">
        <is>
          <t>Present product economics and analytical outputs in an interview-friendly format.</t>
        </is>
      </c>
    </row>
    <row r="30" ht="25" customHeight="1">
      <c r="A30" s="71" t="inlineStr">
        <is>
          <t>4</t>
        </is>
      </c>
      <c r="B30" s="72" t="inlineStr">
        <is>
          <t>Product strategy case</t>
        </is>
      </c>
      <c r="C30" s="73" t="inlineStr">
        <is>
          <t>Translate the data into a launch / positioning recommendation and implementation considerations.</t>
        </is>
      </c>
    </row>
  </sheetData>
  <mergeCells count="24">
    <mergeCell ref="C27:L27"/>
    <mergeCell ref="J6:L6"/>
    <mergeCell ref="A25:L25"/>
    <mergeCell ref="A20:L23"/>
    <mergeCell ref="G6:I6"/>
    <mergeCell ref="A12:L12"/>
    <mergeCell ref="C28:L28"/>
    <mergeCell ref="A2:L2"/>
    <mergeCell ref="A14:L14"/>
    <mergeCell ref="C30:L30"/>
    <mergeCell ref="A17:L17"/>
    <mergeCell ref="A7:C8"/>
    <mergeCell ref="G7:I8"/>
    <mergeCell ref="A4:L4"/>
    <mergeCell ref="A10:L10"/>
    <mergeCell ref="A19:L19"/>
    <mergeCell ref="A13:L13"/>
    <mergeCell ref="C29:L29"/>
    <mergeCell ref="D7:F8"/>
    <mergeCell ref="J7:L8"/>
    <mergeCell ref="A15:L15"/>
    <mergeCell ref="A1:L1"/>
    <mergeCell ref="A6:C6"/>
    <mergeCell ref="D6:F6"/>
  </mergeCells>
  <pageMargins left="0.25" right="0.25" top="0.4" bottom="0.4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N20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38" customWidth="1" min="4" max="4"/>
    <col width="21" customWidth="1" min="5" max="5"/>
    <col width="13" customWidth="1" min="6" max="6"/>
    <col width="13" customWidth="1" min="7" max="7"/>
    <col width="11" customWidth="1" min="8" max="8"/>
    <col width="14" customWidth="1" min="9" max="9"/>
    <col width="28" customWidth="1" min="10" max="10"/>
    <col width="15" customWidth="1" min="11" max="11"/>
    <col width="14" customWidth="1" min="12" max="12"/>
    <col width="42" customWidth="1" min="13" max="13"/>
    <col width="44" customWidth="1" min="14" max="14"/>
  </cols>
  <sheetData>
    <row r="1" ht="30" customHeight="1">
      <c r="A1" s="57" t="inlineStr">
        <is>
          <t>Emerging Markets ETF Competitive Landscape</t>
        </is>
      </c>
    </row>
    <row r="2" ht="32" customHeight="1">
      <c r="A2" s="58" t="inlineStr">
        <is>
          <t>Current public product snapshot; figures are drawn from issuer pages and intentionally emphasize business/product structure, not investment recommendations.</t>
        </is>
      </c>
    </row>
    <row r="4" ht="22" customHeight="1">
      <c r="A4" s="59" t="inlineStr">
        <is>
          <t>Selected Peer Set</t>
        </is>
      </c>
    </row>
    <row r="5" ht="34" customHeight="1">
      <c r="A5" s="74" t="inlineStr">
        <is>
          <t>Ticker</t>
        </is>
      </c>
      <c r="B5" s="74" t="inlineStr">
        <is>
          <t>Fund</t>
        </is>
      </c>
      <c r="C5" s="74" t="inlineStr">
        <is>
          <t>Issuer</t>
        </is>
      </c>
      <c r="D5" s="74" t="inlineStr">
        <is>
          <t>Benchmark</t>
        </is>
      </c>
      <c r="E5" s="74" t="inlineStr">
        <is>
          <t>Style</t>
        </is>
      </c>
      <c r="F5" s="74" t="inlineStr">
        <is>
          <t>AUM ($bn)</t>
        </is>
      </c>
      <c r="G5" s="74" t="inlineStr">
        <is>
          <t>Expense Ratio</t>
        </is>
      </c>
      <c r="H5" s="74" t="inlineStr">
        <is>
          <t>Holdings</t>
        </is>
      </c>
      <c r="I5" s="74" t="inlineStr">
        <is>
          <t>Inception</t>
        </is>
      </c>
      <c r="J5" s="74" t="inlineStr">
        <is>
          <t>Field as-of dates</t>
        </is>
      </c>
      <c r="K5" s="74" t="inlineStr">
        <is>
          <t>Selected-set AUM Share</t>
        </is>
      </c>
      <c r="L5" s="74" t="inlineStr">
        <is>
          <t>Fee vs Median</t>
        </is>
      </c>
      <c r="M5" s="74" t="inlineStr">
        <is>
          <t>Positioning</t>
        </is>
      </c>
      <c r="N5" s="74" t="inlineStr">
        <is>
          <t>Source URL</t>
        </is>
      </c>
    </row>
    <row r="6" ht="52" customHeight="1">
      <c r="A6" s="75" t="inlineStr">
        <is>
          <t>EEM</t>
        </is>
      </c>
      <c r="B6" s="75" t="inlineStr">
        <is>
          <t>iShares MSCI Emerging Markets ETF</t>
        </is>
      </c>
      <c r="C6" s="75" t="inlineStr">
        <is>
          <t>iShares / BlackRock</t>
        </is>
      </c>
      <c r="D6" s="75" t="inlineStr">
        <is>
          <t>MSCI Emerging Markets Index (Net)</t>
        </is>
      </c>
      <c r="E6" s="75" t="inlineStr">
        <is>
          <t>Passive | Large/Mid Cap</t>
        </is>
      </c>
      <c r="F6" s="76" t="n">
        <v>31.27477762</v>
      </c>
      <c r="G6" s="77" t="n">
        <v>0.0072</v>
      </c>
      <c r="H6" s="78" t="n">
        <v>1185</v>
      </c>
      <c r="I6" s="79" t="inlineStr">
        <is>
          <t>2003-04-07</t>
        </is>
      </c>
      <c r="J6" s="145" t="inlineStr">
        <is>
          <t>AUM 2026-09-18; holdings 2026-09-17; fee Current prospectus (accessed 2026-09-19)</t>
        </is>
      </c>
      <c r="K6" s="80">
        <f>F6/$F$12</f>
        <v/>
      </c>
      <c r="L6" s="81">
        <f>G6-$G$12</f>
        <v/>
      </c>
      <c r="M6" s="82" t="inlineStr">
        <is>
          <t>Legacy, highly liquid trading vehicle; materially higher fee.</t>
        </is>
      </c>
      <c r="N6" s="83" t="inlineStr">
        <is>
          <t>https://www.ishares.com/us/products/239637/ishares-msci-emerging-markets-etf</t>
        </is>
      </c>
    </row>
    <row r="7" ht="52" customHeight="1">
      <c r="A7" s="84" t="inlineStr">
        <is>
          <t>IEMG</t>
        </is>
      </c>
      <c r="B7" s="84" t="inlineStr">
        <is>
          <t>iShares Core MSCI Emerging Markets ETF</t>
        </is>
      </c>
      <c r="C7" s="84" t="inlineStr">
        <is>
          <t>iShares / BlackRock</t>
        </is>
      </c>
      <c r="D7" s="84" t="inlineStr">
        <is>
          <t>MSCI Emerging Markets Investable Market Index (USD) (Net)</t>
        </is>
      </c>
      <c r="E7" s="84" t="inlineStr">
        <is>
          <t>Passive | All Cap</t>
        </is>
      </c>
      <c r="F7" s="85" t="n">
        <v>161.78441448</v>
      </c>
      <c r="G7" s="86" t="n">
        <v>0.0009</v>
      </c>
      <c r="H7" s="87" t="n">
        <v>2860</v>
      </c>
      <c r="I7" s="88" t="inlineStr">
        <is>
          <t>2012-10-18</t>
        </is>
      </c>
      <c r="J7" s="146" t="inlineStr">
        <is>
          <t>AUM 2026-09-18; holdings 2026-09-17; fee Current prospectus (accessed 2026-09-19)</t>
        </is>
      </c>
      <c r="K7" s="89">
        <f>F7/$F$12</f>
        <v/>
      </c>
      <c r="L7" s="90">
        <f>G7-$G$12</f>
        <v/>
      </c>
      <c r="M7" s="91" t="inlineStr">
        <is>
          <t>Low-cost core exposure with very large scale and small-cap inclusion.</t>
        </is>
      </c>
      <c r="N7" s="92" t="inlineStr">
        <is>
          <t>https://www.ishares.com/us/products/244050/ishares-core-msci-emerging-markets-etf</t>
        </is>
      </c>
    </row>
    <row r="8" ht="52" customHeight="1">
      <c r="A8" s="75" t="inlineStr">
        <is>
          <t>VWO</t>
        </is>
      </c>
      <c r="B8" s="75" t="inlineStr">
        <is>
          <t>Vanguard FTSE Emerging Markets ETF</t>
        </is>
      </c>
      <c r="C8" s="75" t="inlineStr">
        <is>
          <t>Vanguard</t>
        </is>
      </c>
      <c r="D8" s="75" t="inlineStr">
        <is>
          <t>FTSE Emerging Markets All Cap China A Inclusion Index</t>
        </is>
      </c>
      <c r="E8" s="75" t="inlineStr">
        <is>
          <t>Passive | All Cap</t>
        </is>
      </c>
      <c r="F8" s="76" t="n">
        <v>127.3</v>
      </c>
      <c r="G8" s="77" t="n">
        <v>0.0005999999999999999</v>
      </c>
      <c r="H8" s="78" t="n">
        <v>6338</v>
      </c>
      <c r="I8" s="79" t="inlineStr">
        <is>
          <t>2005-03-04</t>
        </is>
      </c>
      <c r="J8" s="145" t="inlineStr">
        <is>
          <t>AUM 2026-08-31; holdings 2026-07-31; fee 2026-02-27</t>
        </is>
      </c>
      <c r="K8" s="80">
        <f>F8/$F$12</f>
        <v/>
      </c>
      <c r="L8" s="81">
        <f>G8-$G$12</f>
        <v/>
      </c>
      <c r="M8" s="82" t="inlineStr">
        <is>
          <t>Low-cost, extremely broad all-cap exposure and significant scale.</t>
        </is>
      </c>
      <c r="N8" s="83" t="inlineStr">
        <is>
          <t>https://advisors.vanguard.com/investments/products/vwo/vanguard-ftse-emerging-markets-etf</t>
        </is>
      </c>
    </row>
    <row r="9" ht="52" customHeight="1">
      <c r="A9" s="84" t="inlineStr">
        <is>
          <t>SPEM</t>
        </is>
      </c>
      <c r="B9" s="84" t="inlineStr">
        <is>
          <t>State Street SPDR Portfolio Emerging Markets ETF</t>
        </is>
      </c>
      <c r="C9" s="84" t="inlineStr">
        <is>
          <t>State Street</t>
        </is>
      </c>
      <c r="D9" s="84" t="inlineStr">
        <is>
          <t>S&amp;P Emerging BMI Index</t>
        </is>
      </c>
      <c r="E9" s="84" t="inlineStr">
        <is>
          <t>Passive | Broad Market</t>
        </is>
      </c>
      <c r="F9" s="85" t="n">
        <v>17.49008</v>
      </c>
      <c r="G9" s="86" t="n">
        <v>0.0007</v>
      </c>
      <c r="H9" s="87" t="n">
        <v>2980</v>
      </c>
      <c r="I9" s="88" t="inlineStr">
        <is>
          <t>2007-03-20</t>
        </is>
      </c>
      <c r="J9" s="146" t="inlineStr">
        <is>
          <t>AUM 2026-09-16; holdings 2026-09-16; fee Fund information as of 2026-09-17</t>
        </is>
      </c>
      <c r="K9" s="89">
        <f>F9/$F$12</f>
        <v/>
      </c>
      <c r="L9" s="90">
        <f>G9-$G$12</f>
        <v/>
      </c>
      <c r="M9" s="91" t="inlineStr">
        <is>
          <t>Low-cost diversified beta exposure using the S&amp;P emerging-markets universe.</t>
        </is>
      </c>
      <c r="N9" s="92" t="inlineStr">
        <is>
          <t>https://www.ssga.com/us/en/individual/etfs/state-street-spdr-portfolio-emerging-markets-etf-spem</t>
        </is>
      </c>
    </row>
    <row r="10" ht="52" customHeight="1">
      <c r="A10" s="75" t="inlineStr">
        <is>
          <t>SCHE</t>
        </is>
      </c>
      <c r="B10" s="75" t="inlineStr">
        <is>
          <t>Schwab Emerging Markets Equity ETF</t>
        </is>
      </c>
      <c r="C10" s="75" t="inlineStr">
        <is>
          <t>Schwab</t>
        </is>
      </c>
      <c r="D10" s="75" t="inlineStr">
        <is>
          <t>FTSE Emerging Index (Net)</t>
        </is>
      </c>
      <c r="E10" s="75" t="inlineStr">
        <is>
          <t>Passive | Large/Mid Cap</t>
        </is>
      </c>
      <c r="F10" s="76" t="n">
        <v>12.89236875833</v>
      </c>
      <c r="G10" s="77" t="n">
        <v>0.0005999999999999999</v>
      </c>
      <c r="H10" s="78" t="n">
        <v>2219</v>
      </c>
      <c r="I10" s="79" t="inlineStr">
        <is>
          <t>2010-01-14</t>
        </is>
      </c>
      <c r="J10" s="145" t="inlineStr">
        <is>
          <t>AUM 2026-09-18; holdings 2026-09-17; fee 0.06% effective 2026-06-11; page accessed 2026-09-19</t>
        </is>
      </c>
      <c r="K10" s="80">
        <f>F10/$F$12</f>
        <v/>
      </c>
      <c r="L10" s="81">
        <f>G10-$G$12</f>
        <v/>
      </c>
      <c r="M10" s="82" t="inlineStr">
        <is>
          <t>Low-cost core large/mid-cap exposure with straightforward implementation.</t>
        </is>
      </c>
      <c r="N10" s="83" t="inlineStr">
        <is>
          <t>https://www.schwabassetmanagement.com/products/sche</t>
        </is>
      </c>
    </row>
    <row r="12" ht="22" customHeight="1">
      <c r="E12" s="93" t="inlineStr">
        <is>
          <t>Peer-set total / median</t>
        </is>
      </c>
      <c r="F12" s="94">
        <f>SUM(F6:F10)</f>
        <v/>
      </c>
      <c r="G12" s="95">
        <f>MEDIAN(G6:G10)</f>
        <v/>
      </c>
      <c r="H12" s="96">
        <f>SUM(H6:H10)</f>
        <v/>
      </c>
      <c r="I12" s="28" t="n"/>
      <c r="J12" s="28" t="n"/>
      <c r="K12" s="28" t="n"/>
      <c r="L12" s="28" t="n"/>
    </row>
    <row r="15" ht="22" customHeight="1">
      <c r="A15" s="59" t="inlineStr">
        <is>
          <t>Strategic Read-Through</t>
        </is>
      </c>
    </row>
    <row r="17" ht="32" customHeight="1">
      <c r="A17" s="67" t="inlineStr">
        <is>
          <t>• Pricing pressure: four peers cluster at 0.06%–0.09%, making an undifferentiated passive launch difficult to justify on fee.</t>
        </is>
      </c>
    </row>
    <row r="18" ht="32" customHeight="1">
      <c r="A18" s="68" t="inlineStr">
        <is>
          <t>• Scale advantage: IEMG and VWO have substantially greater AUM than the rest of the selected peer set, reinforcing distribution and liquidity advantages.</t>
        </is>
      </c>
    </row>
    <row r="19" ht="32" customHeight="1">
      <c r="A19" s="67" t="inlineStr">
        <is>
          <t>• Product architecture matters: benchmarks differ in market-cap coverage and index families, showing that “emerging markets” is not a single standardized exposure.</t>
        </is>
      </c>
    </row>
    <row r="20" ht="32" customHeight="1">
      <c r="A20" s="68" t="inlineStr">
        <is>
          <t>• Entry thesis: differentiated active/systematic exposure should be evaluated before launching another broad beta product.</t>
        </is>
      </c>
    </row>
  </sheetData>
  <autoFilter ref="A5:N10"/>
  <mergeCells count="8">
    <mergeCell ref="A17:N17"/>
    <mergeCell ref="A18:N18"/>
    <mergeCell ref="A4:N4"/>
    <mergeCell ref="A20:N20"/>
    <mergeCell ref="A2:N2"/>
    <mergeCell ref="A15:N15"/>
    <mergeCell ref="A19:N19"/>
    <mergeCell ref="A1:N1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</hyperlinks>
  <pageMargins left="0.25" right="0.25" top="0.4" bottom="0.4" header="0.5" footer="0.5"/>
  <pageSetup orientation="landscape" paperSize="1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12"/>
  <sheetViews>
    <sheetView showGridLines="0" zoomScale="78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57" t="inlineStr">
        <is>
          <t>Analysis Results | Product Strategy + Multi-Asset Risk</t>
        </is>
      </c>
    </row>
    <row r="2" ht="25" customHeight="1">
      <c r="A2" s="97" t="inlineStr">
        <is>
          <t>Three-year window: Aug 2023–Aug 2026 | Month-end adjusted prices | Historical analysis, not an investment recommendation.</t>
        </is>
      </c>
    </row>
    <row r="4" ht="22" customHeight="1">
      <c r="A4" s="59" t="inlineStr">
        <is>
          <t>Key Findings</t>
        </is>
      </c>
    </row>
    <row r="6" ht="42" customHeight="1">
      <c r="A6" s="98" t="n">
        <v>1</v>
      </c>
      <c r="B6" s="99" t="inlineStr">
        <is>
          <t>EEM: 22.5% CAGR with 15.4% volatility and 0.79x beta to SPY — strong participation, but not a low-risk substitute for developed-market equity.</t>
        </is>
      </c>
    </row>
    <row r="7" ht="42" customHeight="1">
      <c r="A7" s="98" t="n">
        <v>2</v>
      </c>
      <c r="B7" s="100" t="inlineStr">
        <is>
          <t>SPY vs QQQ: QQQ added 3.6% of CAGR, while annualized volatility was 4.8% higher. The return premium came with materially more risk.</t>
        </is>
      </c>
    </row>
    <row r="8" ht="42" customHeight="1">
      <c r="A8" s="98" t="n">
        <v>3</v>
      </c>
      <c r="B8" s="99" t="inlineStr">
        <is>
          <t>GLD: 0.02 correlation with SPY, yet a 23.8% month-end drawdown. Diversification benefit and standalone risk are separate questions.</t>
        </is>
      </c>
    </row>
    <row r="9" ht="42" customHeight="1">
      <c r="A9" s="98" t="n">
        <v>4</v>
      </c>
      <c r="B9" s="100" t="inlineStr">
        <is>
          <t>Fixed income: AGG and LQD reduced volatility; HYG earned more but its 0.77 correlation with SPY shows meaningful risk-asset sensitivity.</t>
        </is>
      </c>
    </row>
    <row r="10" ht="42" customHeight="1">
      <c r="A10" s="98" t="n">
        <v>5</v>
      </c>
      <c r="B10" s="99" t="inlineStr">
        <is>
          <t>Product read-through: broad EM fees are compressed, so the more defensible entry point is differentiated systematic exposure rather than another low-cost beta clone.</t>
        </is>
      </c>
    </row>
    <row r="11" ht="24" customHeight="1">
      <c r="A11" s="101" t="inlineStr">
        <is>
          <t>Decision takeaway: the analysis supports testing differentiated product architecture, not competing on fee alone.</t>
        </is>
      </c>
    </row>
    <row r="12" ht="22" customHeight="1">
      <c r="A12" s="59" t="inlineStr">
        <is>
          <t>Charts</t>
        </is>
      </c>
    </row>
  </sheetData>
  <mergeCells count="10">
    <mergeCell ref="A2:L2"/>
    <mergeCell ref="A12:L12"/>
    <mergeCell ref="B6:L6"/>
    <mergeCell ref="A11:L11"/>
    <mergeCell ref="B7:L7"/>
    <mergeCell ref="A1:L1"/>
    <mergeCell ref="B10:L10"/>
    <mergeCell ref="B9:L9"/>
    <mergeCell ref="A4:L4"/>
    <mergeCell ref="B8:L8"/>
  </mergeCells>
  <pageMargins left="0.25" right="0.25" top="0.4" bottom="0.4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8"/>
  <sheetViews>
    <sheetView showGridLines="0" zoomScale="8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28" customWidth="1" min="3" max="3"/>
    <col width="14" customWidth="1" min="4" max="4"/>
    <col width="13" customWidth="1" min="5" max="5"/>
    <col width="15" customWidth="1" min="6" max="6"/>
    <col width="12" customWidth="1" min="7" max="7"/>
    <col width="12" customWidth="1" min="8" max="8"/>
    <col width="14" customWidth="1" min="9" max="9"/>
    <col width="15" customWidth="1" min="10" max="10"/>
    <col width="12" customWidth="1" min="11" max="11"/>
    <col hidden="1" width="2" customWidth="1" min="12" max="12"/>
  </cols>
  <sheetData>
    <row r="1" ht="30" customHeight="1">
      <c r="A1" s="57" t="inlineStr">
        <is>
          <t>Quantitative Risk Analytics Framework</t>
        </is>
      </c>
    </row>
    <row r="2" ht="30" customHeight="1">
      <c r="A2" s="58" t="inlineStr">
        <is>
          <t>Three-year analysis using month-end adjusted prices from Aug 2023 through Aug 2026. Metrics are formula-driven; VaR is monthly, and drawdown is based on month-end observations.</t>
        </is>
      </c>
    </row>
    <row r="4" ht="22" customHeight="1">
      <c r="A4" s="59" t="inlineStr">
        <is>
          <t>Multi-Asset ETF Universe</t>
        </is>
      </c>
    </row>
    <row r="5" ht="34" customHeight="1">
      <c r="A5" s="74" t="inlineStr">
        <is>
          <t>Ticker</t>
        </is>
      </c>
      <c r="B5" s="74" t="inlineStr">
        <is>
          <t>Exposure</t>
        </is>
      </c>
      <c r="C5" s="74" t="inlineStr">
        <is>
          <t>Fund</t>
        </is>
      </c>
      <c r="D5" s="74" t="inlineStr">
        <is>
          <t>Total Return</t>
        </is>
      </c>
      <c r="E5" s="74" t="inlineStr">
        <is>
          <t>CAGR</t>
        </is>
      </c>
      <c r="F5" s="74" t="inlineStr">
        <is>
          <t>Ann. Volatility</t>
        </is>
      </c>
      <c r="G5" s="74" t="inlineStr">
        <is>
          <t>Sharpe</t>
        </is>
      </c>
      <c r="H5" s="74" t="inlineStr">
        <is>
          <t>Sortino</t>
        </is>
      </c>
      <c r="I5" s="74" t="inlineStr">
        <is>
          <t>Max Drawdown</t>
        </is>
      </c>
      <c r="J5" s="74" t="inlineStr">
        <is>
          <t>95% Hist. VaR</t>
        </is>
      </c>
      <c r="K5" s="74" t="inlineStr">
        <is>
          <t>Beta vs SPY</t>
        </is>
      </c>
      <c r="L5" s="74" t="inlineStr"/>
    </row>
    <row r="6" ht="24" customHeight="1">
      <c r="A6" s="102" t="inlineStr">
        <is>
          <t>SPY</t>
        </is>
      </c>
      <c r="B6" s="103" t="inlineStr">
        <is>
          <t>U.S. Large Cap</t>
        </is>
      </c>
      <c r="C6" s="103" t="inlineStr">
        <is>
          <t>SPDR S&amp;P 500 ETF Trust</t>
        </is>
      </c>
      <c r="D6" s="104">
        <f>'Monthly Prices'!B41/'Monthly Prices'!B5-1</f>
        <v/>
      </c>
      <c r="E6" s="104">
        <f>('Monthly Prices'!B41/'Monthly Prices'!B5)^(12/COUNT('Monthly Returns'!B5:B40))-1</f>
        <v/>
      </c>
      <c r="F6" s="104">
        <f>STDEV.S('Monthly Returns'!B5:B40)*SQRT(12)</f>
        <v/>
      </c>
      <c r="G6" s="105">
        <f>(AVERAGE('Monthly Returns'!B5:B40)-AVERAGE('Monthly Returns'!$L$5:$L$40))/STDEV.S('Monthly Returns'!B5:B40)*SQRT(12)</f>
        <v/>
      </c>
      <c r="H6" s="105">
        <f>IFERROR(((AVERAGE('Monthly Returns'!B5:B40)-AVERAGE('Monthly Returns'!$L$5:$L$40))*12)/(SQRT(SUMSQ('Monthly Returns'!M5:M40)/COUNT('Monthly Returns'!M5:M40))*SQRT(12)),0)</f>
        <v/>
      </c>
      <c r="I6" s="104">
        <f>MIN('Drawdown Calc'!B5:B41)</f>
        <v/>
      </c>
      <c r="J6" s="104">
        <f>-PERCENTILE.INC('Monthly Returns'!B5:B40,0.05)</f>
        <v/>
      </c>
      <c r="K6" s="105">
        <f>COVARIANCE.S('Monthly Returns'!B5:B40,'Monthly Returns'!$B$5:$B$40)/VAR.S('Monthly Returns'!$B$5:$B$40)</f>
        <v/>
      </c>
      <c r="L6" s="106" t="inlineStr"/>
    </row>
    <row r="7" ht="24" customHeight="1">
      <c r="A7" s="107" t="inlineStr">
        <is>
          <t>QQQ</t>
        </is>
      </c>
      <c r="B7" s="108" t="inlineStr">
        <is>
          <t>U.S. Growth / Tech</t>
        </is>
      </c>
      <c r="C7" s="108" t="inlineStr">
        <is>
          <t>Invesco QQQ Trust</t>
        </is>
      </c>
      <c r="D7" s="109">
        <f>'Monthly Prices'!C41/'Monthly Prices'!C5-1</f>
        <v/>
      </c>
      <c r="E7" s="109">
        <f>('Monthly Prices'!C41/'Monthly Prices'!C5)^(12/COUNT('Monthly Returns'!C5:C40))-1</f>
        <v/>
      </c>
      <c r="F7" s="109">
        <f>STDEV.S('Monthly Returns'!C5:C40)*SQRT(12)</f>
        <v/>
      </c>
      <c r="G7" s="110">
        <f>(AVERAGE('Monthly Returns'!C5:C40)-AVERAGE('Monthly Returns'!$L$5:$L$40))/STDEV.S('Monthly Returns'!C5:C40)*SQRT(12)</f>
        <v/>
      </c>
      <c r="H7" s="110">
        <f>IFERROR(((AVERAGE('Monthly Returns'!C5:C40)-AVERAGE('Monthly Returns'!$L$5:$L$40))*12)/(SQRT(SUMSQ('Monthly Returns'!N5:N40)/COUNT('Monthly Returns'!N5:N40))*SQRT(12)),0)</f>
        <v/>
      </c>
      <c r="I7" s="109">
        <f>MIN('Drawdown Calc'!C5:C41)</f>
        <v/>
      </c>
      <c r="J7" s="109">
        <f>-PERCENTILE.INC('Monthly Returns'!C5:C40,0.05)</f>
        <v/>
      </c>
      <c r="K7" s="110">
        <f>COVARIANCE.S('Monthly Returns'!C5:C40,'Monthly Returns'!$B$5:$B$40)/VAR.S('Monthly Returns'!$B$5:$B$40)</f>
        <v/>
      </c>
      <c r="L7" s="111" t="inlineStr"/>
    </row>
    <row r="8" ht="24" customHeight="1">
      <c r="A8" s="102" t="inlineStr">
        <is>
          <t>IWM</t>
        </is>
      </c>
      <c r="B8" s="103" t="inlineStr">
        <is>
          <t>U.S. Small Cap</t>
        </is>
      </c>
      <c r="C8" s="103" t="inlineStr">
        <is>
          <t>iShares Russell 2000 ETF</t>
        </is>
      </c>
      <c r="D8" s="104">
        <f>'Monthly Prices'!D41/'Monthly Prices'!D5-1</f>
        <v/>
      </c>
      <c r="E8" s="104">
        <f>('Monthly Prices'!D41/'Monthly Prices'!D5)^(12/COUNT('Monthly Returns'!D5:D40))-1</f>
        <v/>
      </c>
      <c r="F8" s="104">
        <f>STDEV.S('Monthly Returns'!D5:D40)*SQRT(12)</f>
        <v/>
      </c>
      <c r="G8" s="105">
        <f>(AVERAGE('Monthly Returns'!D5:D40)-AVERAGE('Monthly Returns'!$L$5:$L$40))/STDEV.S('Monthly Returns'!D5:D40)*SQRT(12)</f>
        <v/>
      </c>
      <c r="H8" s="105">
        <f>IFERROR(((AVERAGE('Monthly Returns'!D5:D40)-AVERAGE('Monthly Returns'!$L$5:$L$40))*12)/(SQRT(SUMSQ('Monthly Returns'!O5:O40)/COUNT('Monthly Returns'!O5:O40))*SQRT(12)),0)</f>
        <v/>
      </c>
      <c r="I8" s="104">
        <f>MIN('Drawdown Calc'!D5:D41)</f>
        <v/>
      </c>
      <c r="J8" s="104">
        <f>-PERCENTILE.INC('Monthly Returns'!D5:D40,0.05)</f>
        <v/>
      </c>
      <c r="K8" s="105">
        <f>COVARIANCE.S('Monthly Returns'!D5:D40,'Monthly Returns'!$B$5:$B$40)/VAR.S('Monthly Returns'!$B$5:$B$40)</f>
        <v/>
      </c>
      <c r="L8" s="106" t="inlineStr"/>
    </row>
    <row r="9" ht="24" customHeight="1">
      <c r="A9" s="107" t="inlineStr">
        <is>
          <t>EFA</t>
        </is>
      </c>
      <c r="B9" s="108" t="inlineStr">
        <is>
          <t>Developed ex-U.S.</t>
        </is>
      </c>
      <c r="C9" s="108" t="inlineStr">
        <is>
          <t>iShares MSCI EAFE ETF</t>
        </is>
      </c>
      <c r="D9" s="109">
        <f>'Monthly Prices'!E41/'Monthly Prices'!E5-1</f>
        <v/>
      </c>
      <c r="E9" s="109">
        <f>('Monthly Prices'!E41/'Monthly Prices'!E5)^(12/COUNT('Monthly Returns'!E5:E40))-1</f>
        <v/>
      </c>
      <c r="F9" s="109">
        <f>STDEV.S('Monthly Returns'!E5:E40)*SQRT(12)</f>
        <v/>
      </c>
      <c r="G9" s="110">
        <f>(AVERAGE('Monthly Returns'!E5:E40)-AVERAGE('Monthly Returns'!$L$5:$L$40))/STDEV.S('Monthly Returns'!E5:E40)*SQRT(12)</f>
        <v/>
      </c>
      <c r="H9" s="110">
        <f>IFERROR(((AVERAGE('Monthly Returns'!E5:E40)-AVERAGE('Monthly Returns'!$L$5:$L$40))*12)/(SQRT(SUMSQ('Monthly Returns'!P5:P40)/COUNT('Monthly Returns'!P5:P40))*SQRT(12)),0)</f>
        <v/>
      </c>
      <c r="I9" s="109">
        <f>MIN('Drawdown Calc'!E5:E41)</f>
        <v/>
      </c>
      <c r="J9" s="109">
        <f>-PERCENTILE.INC('Monthly Returns'!E5:E40,0.05)</f>
        <v/>
      </c>
      <c r="K9" s="110">
        <f>COVARIANCE.S('Monthly Returns'!E5:E40,'Monthly Returns'!$B$5:$B$40)/VAR.S('Monthly Returns'!$B$5:$B$40)</f>
        <v/>
      </c>
      <c r="L9" s="111" t="inlineStr"/>
    </row>
    <row r="10" ht="24" customHeight="1">
      <c r="A10" s="102" t="inlineStr">
        <is>
          <t>EEM</t>
        </is>
      </c>
      <c r="B10" s="103" t="inlineStr">
        <is>
          <t>Emerging Markets</t>
        </is>
      </c>
      <c r="C10" s="103" t="inlineStr">
        <is>
          <t>iShares MSCI Emerging Markets ETF</t>
        </is>
      </c>
      <c r="D10" s="104">
        <f>'Monthly Prices'!F41/'Monthly Prices'!F5-1</f>
        <v/>
      </c>
      <c r="E10" s="104">
        <f>('Monthly Prices'!F41/'Monthly Prices'!F5)^(12/COUNT('Monthly Returns'!F5:F40))-1</f>
        <v/>
      </c>
      <c r="F10" s="104">
        <f>STDEV.S('Monthly Returns'!F5:F40)*SQRT(12)</f>
        <v/>
      </c>
      <c r="G10" s="105">
        <f>(AVERAGE('Monthly Returns'!F5:F40)-AVERAGE('Monthly Returns'!$L$5:$L$40))/STDEV.S('Monthly Returns'!F5:F40)*SQRT(12)</f>
        <v/>
      </c>
      <c r="H10" s="105">
        <f>IFERROR(((AVERAGE('Monthly Returns'!F5:F40)-AVERAGE('Monthly Returns'!$L$5:$L$40))*12)/(SQRT(SUMSQ('Monthly Returns'!Q5:Q40)/COUNT('Monthly Returns'!Q5:Q40))*SQRT(12)),0)</f>
        <v/>
      </c>
      <c r="I10" s="104">
        <f>MIN('Drawdown Calc'!F5:F41)</f>
        <v/>
      </c>
      <c r="J10" s="104">
        <f>-PERCENTILE.INC('Monthly Returns'!F5:F40,0.05)</f>
        <v/>
      </c>
      <c r="K10" s="105">
        <f>COVARIANCE.S('Monthly Returns'!F5:F40,'Monthly Returns'!$B$5:$B$40)/VAR.S('Monthly Returns'!$B$5:$B$40)</f>
        <v/>
      </c>
      <c r="L10" s="106" t="inlineStr"/>
    </row>
    <row r="11" ht="24" customHeight="1">
      <c r="A11" s="107" t="inlineStr">
        <is>
          <t>AGG</t>
        </is>
      </c>
      <c r="B11" s="108" t="inlineStr">
        <is>
          <t>Core U.S. Bonds</t>
        </is>
      </c>
      <c r="C11" s="108" t="inlineStr">
        <is>
          <t>iShares Core U.S. Aggregate Bond ETF</t>
        </is>
      </c>
      <c r="D11" s="109">
        <f>'Monthly Prices'!G41/'Monthly Prices'!G5-1</f>
        <v/>
      </c>
      <c r="E11" s="109">
        <f>('Monthly Prices'!G41/'Monthly Prices'!G5)^(12/COUNT('Monthly Returns'!G5:G40))-1</f>
        <v/>
      </c>
      <c r="F11" s="109">
        <f>STDEV.S('Monthly Returns'!G5:G40)*SQRT(12)</f>
        <v/>
      </c>
      <c r="G11" s="110">
        <f>(AVERAGE('Monthly Returns'!G5:G40)-AVERAGE('Monthly Returns'!$L$5:$L$40))/STDEV.S('Monthly Returns'!G5:G40)*SQRT(12)</f>
        <v/>
      </c>
      <c r="H11" s="110">
        <f>IFERROR(((AVERAGE('Monthly Returns'!G5:G40)-AVERAGE('Monthly Returns'!$L$5:$L$40))*12)/(SQRT(SUMSQ('Monthly Returns'!R5:R40)/COUNT('Monthly Returns'!R5:R40))*SQRT(12)),0)</f>
        <v/>
      </c>
      <c r="I11" s="109">
        <f>MIN('Drawdown Calc'!G5:G41)</f>
        <v/>
      </c>
      <c r="J11" s="109">
        <f>-PERCENTILE.INC('Monthly Returns'!G5:G40,0.05)</f>
        <v/>
      </c>
      <c r="K11" s="110">
        <f>COVARIANCE.S('Monthly Returns'!G5:G40,'Monthly Returns'!$B$5:$B$40)/VAR.S('Monthly Returns'!$B$5:$B$40)</f>
        <v/>
      </c>
      <c r="L11" s="111" t="inlineStr"/>
    </row>
    <row r="12" ht="24" customHeight="1">
      <c r="A12" s="102" t="inlineStr">
        <is>
          <t>LQD</t>
        </is>
      </c>
      <c r="B12" s="103" t="inlineStr">
        <is>
          <t>Investment Grade Credit</t>
        </is>
      </c>
      <c r="C12" s="103" t="inlineStr">
        <is>
          <t>iShares iBoxx $ Investment Grade Corporate Bond ETF</t>
        </is>
      </c>
      <c r="D12" s="104">
        <f>'Monthly Prices'!H41/'Monthly Prices'!H5-1</f>
        <v/>
      </c>
      <c r="E12" s="104">
        <f>('Monthly Prices'!H41/'Monthly Prices'!H5)^(12/COUNT('Monthly Returns'!H5:H40))-1</f>
        <v/>
      </c>
      <c r="F12" s="104">
        <f>STDEV.S('Monthly Returns'!H5:H40)*SQRT(12)</f>
        <v/>
      </c>
      <c r="G12" s="105">
        <f>(AVERAGE('Monthly Returns'!H5:H40)-AVERAGE('Monthly Returns'!$L$5:$L$40))/STDEV.S('Monthly Returns'!H5:H40)*SQRT(12)</f>
        <v/>
      </c>
      <c r="H12" s="105">
        <f>IFERROR(((AVERAGE('Monthly Returns'!H5:H40)-AVERAGE('Monthly Returns'!$L$5:$L$40))*12)/(SQRT(SUMSQ('Monthly Returns'!S5:S40)/COUNT('Monthly Returns'!S5:S40))*SQRT(12)),0)</f>
        <v/>
      </c>
      <c r="I12" s="104">
        <f>MIN('Drawdown Calc'!H5:H41)</f>
        <v/>
      </c>
      <c r="J12" s="104">
        <f>-PERCENTILE.INC('Monthly Returns'!H5:H40,0.05)</f>
        <v/>
      </c>
      <c r="K12" s="105">
        <f>COVARIANCE.S('Monthly Returns'!H5:H40,'Monthly Returns'!$B$5:$B$40)/VAR.S('Monthly Returns'!$B$5:$B$40)</f>
        <v/>
      </c>
      <c r="L12" s="106" t="inlineStr"/>
    </row>
    <row r="13" ht="24" customHeight="1">
      <c r="A13" s="107" t="inlineStr">
        <is>
          <t>HYG</t>
        </is>
      </c>
      <c r="B13" s="108" t="inlineStr">
        <is>
          <t>High Yield Credit</t>
        </is>
      </c>
      <c r="C13" s="108" t="inlineStr">
        <is>
          <t>iShares iBoxx $ High Yield Corporate Bond ETF</t>
        </is>
      </c>
      <c r="D13" s="109">
        <f>'Monthly Prices'!I41/'Monthly Prices'!I5-1</f>
        <v/>
      </c>
      <c r="E13" s="109">
        <f>('Monthly Prices'!I41/'Monthly Prices'!I5)^(12/COUNT('Monthly Returns'!I5:I40))-1</f>
        <v/>
      </c>
      <c r="F13" s="109">
        <f>STDEV.S('Monthly Returns'!I5:I40)*SQRT(12)</f>
        <v/>
      </c>
      <c r="G13" s="110">
        <f>(AVERAGE('Monthly Returns'!I5:I40)-AVERAGE('Monthly Returns'!$L$5:$L$40))/STDEV.S('Monthly Returns'!I5:I40)*SQRT(12)</f>
        <v/>
      </c>
      <c r="H13" s="110">
        <f>IFERROR(((AVERAGE('Monthly Returns'!I5:I40)-AVERAGE('Monthly Returns'!$L$5:$L$40))*12)/(SQRT(SUMSQ('Monthly Returns'!T5:T40)/COUNT('Monthly Returns'!T5:T40))*SQRT(12)),0)</f>
        <v/>
      </c>
      <c r="I13" s="109">
        <f>MIN('Drawdown Calc'!I5:I41)</f>
        <v/>
      </c>
      <c r="J13" s="109">
        <f>-PERCENTILE.INC('Monthly Returns'!I5:I40,0.05)</f>
        <v/>
      </c>
      <c r="K13" s="110">
        <f>COVARIANCE.S('Monthly Returns'!I5:I40,'Monthly Returns'!$B$5:$B$40)/VAR.S('Monthly Returns'!$B$5:$B$40)</f>
        <v/>
      </c>
      <c r="L13" s="111" t="inlineStr"/>
    </row>
    <row r="14" ht="24" customHeight="1">
      <c r="A14" s="102" t="inlineStr">
        <is>
          <t>GLD</t>
        </is>
      </c>
      <c r="B14" s="103" t="inlineStr">
        <is>
          <t>Gold</t>
        </is>
      </c>
      <c r="C14" s="103" t="inlineStr">
        <is>
          <t>SPDR Gold Shares</t>
        </is>
      </c>
      <c r="D14" s="104">
        <f>'Monthly Prices'!J41/'Monthly Prices'!J5-1</f>
        <v/>
      </c>
      <c r="E14" s="104">
        <f>('Monthly Prices'!J41/'Monthly Prices'!J5)^(12/COUNT('Monthly Returns'!J5:J40))-1</f>
        <v/>
      </c>
      <c r="F14" s="104">
        <f>STDEV.S('Monthly Returns'!J5:J40)*SQRT(12)</f>
        <v/>
      </c>
      <c r="G14" s="105">
        <f>(AVERAGE('Monthly Returns'!J5:J40)-AVERAGE('Monthly Returns'!$L$5:$L$40))/STDEV.S('Monthly Returns'!J5:J40)*SQRT(12)</f>
        <v/>
      </c>
      <c r="H14" s="105">
        <f>IFERROR(((AVERAGE('Monthly Returns'!J5:J40)-AVERAGE('Monthly Returns'!$L$5:$L$40))*12)/(SQRT(SUMSQ('Monthly Returns'!U5:U40)/COUNT('Monthly Returns'!U5:U40))*SQRT(12)),0)</f>
        <v/>
      </c>
      <c r="I14" s="104">
        <f>MIN('Drawdown Calc'!J5:J41)</f>
        <v/>
      </c>
      <c r="J14" s="104">
        <f>-PERCENTILE.INC('Monthly Returns'!J5:J40,0.05)</f>
        <v/>
      </c>
      <c r="K14" s="105">
        <f>COVARIANCE.S('Monthly Returns'!J5:J40,'Monthly Returns'!$B$5:$B$40)/VAR.S('Monthly Returns'!$B$5:$B$40)</f>
        <v/>
      </c>
      <c r="L14" s="106" t="inlineStr"/>
    </row>
    <row r="15" ht="24" customHeight="1">
      <c r="A15" s="107" t="inlineStr">
        <is>
          <t>VNQ</t>
        </is>
      </c>
      <c r="B15" s="108" t="inlineStr">
        <is>
          <t>U.S. Real Estate</t>
        </is>
      </c>
      <c r="C15" s="108" t="inlineStr">
        <is>
          <t>Vanguard Real Estate ETF</t>
        </is>
      </c>
      <c r="D15" s="109">
        <f>'Monthly Prices'!K41/'Monthly Prices'!K5-1</f>
        <v/>
      </c>
      <c r="E15" s="109">
        <f>('Monthly Prices'!K41/'Monthly Prices'!K5)^(12/COUNT('Monthly Returns'!K5:K40))-1</f>
        <v/>
      </c>
      <c r="F15" s="109">
        <f>STDEV.S('Monthly Returns'!K5:K40)*SQRT(12)</f>
        <v/>
      </c>
      <c r="G15" s="110">
        <f>(AVERAGE('Monthly Returns'!K5:K40)-AVERAGE('Monthly Returns'!$L$5:$L$40))/STDEV.S('Monthly Returns'!K5:K40)*SQRT(12)</f>
        <v/>
      </c>
      <c r="H15" s="110">
        <f>IFERROR(((AVERAGE('Monthly Returns'!K5:K40)-AVERAGE('Monthly Returns'!$L$5:$L$40))*12)/(SQRT(SUMSQ('Monthly Returns'!V5:V40)/COUNT('Monthly Returns'!V5:V40))*SQRT(12)),0)</f>
        <v/>
      </c>
      <c r="I15" s="109">
        <f>MIN('Drawdown Calc'!K5:K41)</f>
        <v/>
      </c>
      <c r="J15" s="109">
        <f>-PERCENTILE.INC('Monthly Returns'!K5:K40,0.05)</f>
        <v/>
      </c>
      <c r="K15" s="110">
        <f>COVARIANCE.S('Monthly Returns'!K5:K40,'Monthly Returns'!$B$5:$B$40)/VAR.S('Monthly Returns'!$B$5:$B$40)</f>
        <v/>
      </c>
      <c r="L15" s="111" t="inlineStr"/>
    </row>
    <row r="17" ht="22" customHeight="1">
      <c r="A17" s="59" t="inlineStr">
        <is>
          <t>Analysis Assumptions</t>
        </is>
      </c>
    </row>
    <row r="18" ht="23" customHeight="1">
      <c r="A18" s="112" t="inlineStr">
        <is>
          <t>Average annualized 3M Treasury yield</t>
        </is>
      </c>
      <c r="B18" s="147">
        <f>AVERAGE('Risk-Free Rates'!B5:B40)</f>
        <v/>
      </c>
      <c r="C18" s="114" t="inlineStr">
        <is>
          <t>Reference only. Sharpe / Sortino use each month’s FRED DGS3MO observation, converted to a monthly return.</t>
        </is>
      </c>
    </row>
    <row r="19" ht="23" customHeight="1">
      <c r="A19" s="72" t="inlineStr">
        <is>
          <t>Data frequency</t>
        </is>
      </c>
      <c r="B19" s="115" t="inlineStr">
        <is>
          <t>Monthly</t>
        </is>
      </c>
      <c r="C19" s="114" t="inlineStr">
        <is>
          <t>Aug 2023–Aug 2026 full month-end observations.</t>
        </is>
      </c>
    </row>
    <row r="20" ht="24" customHeight="1">
      <c r="A20" s="116" t="inlineStr">
        <is>
          <t>Return</t>
        </is>
      </c>
      <c r="B20" s="117" t="inlineStr">
        <is>
          <t>Adjusted-price total return over the selected analysis window.</t>
        </is>
      </c>
    </row>
    <row r="21" ht="22" customHeight="1">
      <c r="A21" s="59" t="inlineStr">
        <is>
          <t>Methodology</t>
        </is>
      </c>
    </row>
    <row r="22" ht="24" customHeight="1">
      <c r="A22" s="116" t="inlineStr">
        <is>
          <t>Sharpe</t>
        </is>
      </c>
      <c r="B22" s="117" t="inlineStr">
        <is>
          <t>Average monthly excess return over month-end DGS3MO, annualized by √12 and divided by annualized monthly-return volatility.</t>
        </is>
      </c>
    </row>
    <row r="23" ht="24" customHeight="1">
      <c r="A23" s="118" t="inlineStr">
        <is>
          <t>Risk / downside</t>
        </is>
      </c>
      <c r="B23" s="119" t="inlineStr">
        <is>
          <t>Volatility is sample standard deviation of monthly returns × √12; downside deviation uses negative monthly excess returns relative to DGS3MO.</t>
        </is>
      </c>
    </row>
    <row r="24" ht="24" customHeight="1">
      <c r="A24" s="118" t="inlineStr">
        <is>
          <t>Sortino</t>
        </is>
      </c>
      <c r="B24" s="119" t="inlineStr">
        <is>
          <t>Annualized average monthly excess return divided by downside deviation of monthly excess returns (positive excess months set to zero).</t>
        </is>
      </c>
    </row>
    <row r="25" ht="24" customHeight="1">
      <c r="A25" s="118" t="inlineStr">
        <is>
          <t>Drawdown</t>
        </is>
      </c>
      <c r="B25" s="119" t="inlineStr">
        <is>
          <t>Largest peak-to-trough decline measured from month-end adjusted prices.</t>
        </is>
      </c>
    </row>
    <row r="26" ht="24" customHeight="1">
      <c r="A26" s="118" t="inlineStr">
        <is>
          <t>VaR</t>
        </is>
      </c>
      <c r="B26" s="119" t="inlineStr">
        <is>
          <t>Historical 5th percentile of monthly returns, reported as a positive loss magnitude.</t>
        </is>
      </c>
    </row>
    <row r="27" ht="24" customHeight="1">
      <c r="A27" s="118" t="inlineStr">
        <is>
          <t>Beta</t>
        </is>
      </c>
      <c r="B27" s="119" t="inlineStr">
        <is>
          <t>Covariance with SPY monthly returns divided by SPY monthly-return variance.</t>
        </is>
      </c>
    </row>
    <row r="28" ht="24" customHeight="1">
      <c r="A28" s="118" t="inlineStr">
        <is>
          <t>Beta</t>
        </is>
      </c>
      <c r="B28" s="119" t="inlineStr">
        <is>
          <t>Covariance with SPY monthly returns divided by SPY monthly-return variance.</t>
        </is>
      </c>
    </row>
  </sheetData>
  <mergeCells count="11">
    <mergeCell ref="A2:L2"/>
    <mergeCell ref="B23:K23"/>
    <mergeCell ref="A21:K21"/>
    <mergeCell ref="B26:K26"/>
    <mergeCell ref="B27:K27"/>
    <mergeCell ref="A1:L1"/>
    <mergeCell ref="B25:K25"/>
    <mergeCell ref="B24:K24"/>
    <mergeCell ref="B28:K28"/>
    <mergeCell ref="A17:K17"/>
    <mergeCell ref="A4:L4"/>
  </mergeCells>
  <pageMargins left="0.25" right="0.25" top="0.4" bottom="0.4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K41"/>
  <sheetViews>
    <sheetView showGridLines="0" zoomScale="88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20" t="inlineStr">
        <is>
          <t>Month-End Adjusted Prices | Aug 2023–Aug 2026</t>
        </is>
      </c>
    </row>
    <row r="2" ht="28" customHeight="1">
      <c r="A2" s="121" t="inlineStr">
        <is>
          <t>Public monthly adjusted-price histories from Digrin; August 2026 used as the final full month. Imported data are shown in green.</t>
        </is>
      </c>
    </row>
    <row r="4" ht="34" customHeight="1">
      <c r="A4" s="74" t="inlineStr">
        <is>
          <t>Date</t>
        </is>
      </c>
      <c r="B4" s="74" t="inlineStr">
        <is>
          <t>SPY</t>
        </is>
      </c>
      <c r="C4" s="74" t="inlineStr">
        <is>
          <t>QQQ</t>
        </is>
      </c>
      <c r="D4" s="74" t="inlineStr">
        <is>
          <t>IWM</t>
        </is>
      </c>
      <c r="E4" s="74" t="inlineStr">
        <is>
          <t>EFA</t>
        </is>
      </c>
      <c r="F4" s="74" t="inlineStr">
        <is>
          <t>EEM</t>
        </is>
      </c>
      <c r="G4" s="74" t="inlineStr">
        <is>
          <t>AGG</t>
        </is>
      </c>
      <c r="H4" s="74" t="inlineStr">
        <is>
          <t>LQD</t>
        </is>
      </c>
      <c r="I4" s="74" t="inlineStr">
        <is>
          <t>HYG</t>
        </is>
      </c>
      <c r="J4" s="74" t="inlineStr">
        <is>
          <t>GLD</t>
        </is>
      </c>
      <c r="K4" s="74" t="inlineStr">
        <is>
          <t>VNQ</t>
        </is>
      </c>
    </row>
    <row r="5" ht="19" customHeight="1">
      <c r="A5" s="122" t="n">
        <v>45169</v>
      </c>
      <c r="B5" s="123" t="n">
        <v>433.86</v>
      </c>
      <c r="C5" s="123" t="n">
        <v>371.5</v>
      </c>
      <c r="D5" s="123" t="n">
        <v>182.06</v>
      </c>
      <c r="E5" s="123" t="n">
        <v>65.09999999999999</v>
      </c>
      <c r="F5" s="123" t="n">
        <v>36.47</v>
      </c>
      <c r="G5" s="123" t="n">
        <v>86.40000000000001</v>
      </c>
      <c r="H5" s="123" t="n">
        <v>92.45</v>
      </c>
      <c r="I5" s="123" t="n">
        <v>62.7</v>
      </c>
      <c r="J5" s="123" t="n">
        <v>180.02</v>
      </c>
      <c r="K5" s="123" t="n">
        <v>73.15000000000001</v>
      </c>
    </row>
    <row r="6" ht="19" customHeight="1">
      <c r="A6" s="124" t="n">
        <v>45199</v>
      </c>
      <c r="B6" s="125" t="n">
        <v>413.28</v>
      </c>
      <c r="C6" s="125" t="n">
        <v>352.63</v>
      </c>
      <c r="D6" s="125" t="n">
        <v>171.4</v>
      </c>
      <c r="E6" s="125" t="n">
        <v>62.73</v>
      </c>
      <c r="F6" s="125" t="n">
        <v>35.34</v>
      </c>
      <c r="G6" s="125" t="n">
        <v>84.16</v>
      </c>
      <c r="H6" s="125" t="n">
        <v>89.16</v>
      </c>
      <c r="I6" s="125" t="n">
        <v>61.69</v>
      </c>
      <c r="J6" s="125" t="n">
        <v>171.45</v>
      </c>
      <c r="K6" s="125" t="n">
        <v>67.84</v>
      </c>
    </row>
    <row r="7" ht="19" customHeight="1">
      <c r="A7" s="122" t="n">
        <v>45230</v>
      </c>
      <c r="B7" s="123" t="n">
        <v>404.31</v>
      </c>
      <c r="C7" s="123" t="n">
        <v>345.35</v>
      </c>
      <c r="D7" s="123" t="n">
        <v>159.55</v>
      </c>
      <c r="E7" s="123" t="n">
        <v>60.91</v>
      </c>
      <c r="F7" s="123" t="n">
        <v>34.17</v>
      </c>
      <c r="G7" s="123" t="n">
        <v>82.84</v>
      </c>
      <c r="H7" s="123" t="n">
        <v>87.01000000000001</v>
      </c>
      <c r="I7" s="123" t="n">
        <v>61.04</v>
      </c>
      <c r="J7" s="123" t="n">
        <v>184.09</v>
      </c>
      <c r="K7" s="123" t="n">
        <v>65.38</v>
      </c>
    </row>
    <row r="8" ht="19" customHeight="1">
      <c r="A8" s="124" t="n">
        <v>45260</v>
      </c>
      <c r="B8" s="125" t="n">
        <v>441.24</v>
      </c>
      <c r="C8" s="125" t="n">
        <v>382.71</v>
      </c>
      <c r="D8" s="125" t="n">
        <v>174.23</v>
      </c>
      <c r="E8" s="125" t="n">
        <v>65.91</v>
      </c>
      <c r="F8" s="125" t="n">
        <v>36.83</v>
      </c>
      <c r="G8" s="125" t="n">
        <v>86.65000000000001</v>
      </c>
      <c r="H8" s="125" t="n">
        <v>93.59999999999999</v>
      </c>
      <c r="I8" s="125" t="n">
        <v>64.03</v>
      </c>
      <c r="J8" s="125" t="n">
        <v>188.75</v>
      </c>
      <c r="K8" s="125" t="n">
        <v>73.28</v>
      </c>
    </row>
    <row r="9" ht="19" customHeight="1">
      <c r="A9" s="122" t="n">
        <v>45291</v>
      </c>
      <c r="B9" s="123" t="n">
        <v>461.38</v>
      </c>
      <c r="C9" s="123" t="n">
        <v>404.09</v>
      </c>
      <c r="D9" s="123" t="n">
        <v>195.36</v>
      </c>
      <c r="E9" s="123" t="n">
        <v>69.44</v>
      </c>
      <c r="F9" s="123" t="n">
        <v>38.15</v>
      </c>
      <c r="G9" s="123" t="n">
        <v>89.84999999999999</v>
      </c>
      <c r="H9" s="123" t="n">
        <v>98.16</v>
      </c>
      <c r="I9" s="123" t="n">
        <v>66.06999999999999</v>
      </c>
      <c r="J9" s="123" t="n">
        <v>191.17</v>
      </c>
      <c r="K9" s="123" t="n">
        <v>80.2</v>
      </c>
    </row>
    <row r="10" ht="19" customHeight="1">
      <c r="A10" s="124" t="n">
        <v>45322</v>
      </c>
      <c r="B10" s="125" t="n">
        <v>468.73</v>
      </c>
      <c r="C10" s="125" t="n">
        <v>411.44</v>
      </c>
      <c r="D10" s="125" t="n">
        <v>187.74</v>
      </c>
      <c r="E10" s="125" t="n">
        <v>69.13</v>
      </c>
      <c r="F10" s="125" t="n">
        <v>36.42</v>
      </c>
      <c r="G10" s="125" t="n">
        <v>89.72</v>
      </c>
      <c r="H10" s="125" t="n">
        <v>97.73</v>
      </c>
      <c r="I10" s="125" t="n">
        <v>66.15000000000001</v>
      </c>
      <c r="J10" s="125" t="n">
        <v>188.45</v>
      </c>
      <c r="K10" s="125" t="n">
        <v>76.15000000000001</v>
      </c>
    </row>
    <row r="11" ht="19" customHeight="1">
      <c r="A11" s="122" t="n">
        <v>45351</v>
      </c>
      <c r="B11" s="123" t="n">
        <v>493.2</v>
      </c>
      <c r="C11" s="123" t="n">
        <v>433.18</v>
      </c>
      <c r="D11" s="123" t="n">
        <v>198.3</v>
      </c>
      <c r="E11" s="123" t="n">
        <v>71.19</v>
      </c>
      <c r="F11" s="123" t="n">
        <v>37.94</v>
      </c>
      <c r="G11" s="123" t="n">
        <v>88.39</v>
      </c>
      <c r="H11" s="123" t="n">
        <v>95.84</v>
      </c>
      <c r="I11" s="123" t="n">
        <v>66.34999999999999</v>
      </c>
      <c r="J11" s="123" t="n">
        <v>189.31</v>
      </c>
      <c r="K11" s="123" t="n">
        <v>77.65000000000001</v>
      </c>
    </row>
    <row r="12" ht="19" customHeight="1">
      <c r="A12" s="124" t="n">
        <v>45382</v>
      </c>
      <c r="B12" s="125" t="n">
        <v>509.32</v>
      </c>
      <c r="C12" s="125" t="n">
        <v>438.7</v>
      </c>
      <c r="D12" s="125" t="n">
        <v>205.21</v>
      </c>
      <c r="E12" s="125" t="n">
        <v>73.59999999999999</v>
      </c>
      <c r="F12" s="125" t="n">
        <v>38.97</v>
      </c>
      <c r="G12" s="125" t="n">
        <v>89.19</v>
      </c>
      <c r="H12" s="125" t="n">
        <v>97.31999999999999</v>
      </c>
      <c r="I12" s="125" t="n">
        <v>67.06999999999999</v>
      </c>
      <c r="J12" s="125" t="n">
        <v>205.72</v>
      </c>
      <c r="K12" s="125" t="n">
        <v>79.17</v>
      </c>
    </row>
    <row r="13" ht="19" customHeight="1">
      <c r="A13" s="122" t="n">
        <v>45412</v>
      </c>
      <c r="B13" s="123" t="n">
        <v>488.79</v>
      </c>
      <c r="C13" s="123" t="n">
        <v>419.52</v>
      </c>
      <c r="D13" s="123" t="n">
        <v>191.16</v>
      </c>
      <c r="E13" s="123" t="n">
        <v>71.20999999999999</v>
      </c>
      <c r="F13" s="123" t="n">
        <v>38.89</v>
      </c>
      <c r="G13" s="123" t="n">
        <v>86.98</v>
      </c>
      <c r="H13" s="123" t="n">
        <v>94.17</v>
      </c>
      <c r="I13" s="123" t="n">
        <v>66.17</v>
      </c>
      <c r="J13" s="123" t="n">
        <v>211.87</v>
      </c>
      <c r="K13" s="123" t="n">
        <v>72.88</v>
      </c>
    </row>
    <row r="14" ht="19" customHeight="1">
      <c r="A14" s="124" t="n">
        <v>45443</v>
      </c>
      <c r="B14" s="125" t="n">
        <v>513.51</v>
      </c>
      <c r="C14" s="125" t="n">
        <v>445.32</v>
      </c>
      <c r="D14" s="125" t="n">
        <v>200.79</v>
      </c>
      <c r="E14" s="125" t="n">
        <v>74.81</v>
      </c>
      <c r="F14" s="125" t="n">
        <v>39.65</v>
      </c>
      <c r="G14" s="125" t="n">
        <v>88.44</v>
      </c>
      <c r="H14" s="125" t="n">
        <v>96.25</v>
      </c>
      <c r="I14" s="125" t="n">
        <v>67.25</v>
      </c>
      <c r="J14" s="125" t="n">
        <v>215.3</v>
      </c>
      <c r="K14" s="125" t="n">
        <v>76.2</v>
      </c>
    </row>
    <row r="15" ht="19" customHeight="1">
      <c r="A15" s="122" t="n">
        <v>45473</v>
      </c>
      <c r="B15" s="123" t="n">
        <v>531.63</v>
      </c>
      <c r="C15" s="123" t="n">
        <v>474.14</v>
      </c>
      <c r="D15" s="123" t="n">
        <v>198.53</v>
      </c>
      <c r="E15" s="123" t="n">
        <v>73.45</v>
      </c>
      <c r="F15" s="123" t="n">
        <v>40.68</v>
      </c>
      <c r="G15" s="123" t="n">
        <v>89.22</v>
      </c>
      <c r="H15" s="123" t="n">
        <v>96.81999999999999</v>
      </c>
      <c r="I15" s="123" t="n">
        <v>67.56999999999999</v>
      </c>
      <c r="J15" s="123" t="n">
        <v>215.01</v>
      </c>
      <c r="K15" s="123" t="n">
        <v>77.63</v>
      </c>
    </row>
    <row r="16" ht="19" customHeight="1">
      <c r="A16" s="124" t="n">
        <v>45504</v>
      </c>
      <c r="B16" s="125" t="n">
        <v>538.0599999999999</v>
      </c>
      <c r="C16" s="125" t="n">
        <v>466.18</v>
      </c>
      <c r="D16" s="125" t="n">
        <v>219.05</v>
      </c>
      <c r="E16" s="125" t="n">
        <v>75.34999999999999</v>
      </c>
      <c r="F16" s="125" t="n">
        <v>41.03</v>
      </c>
      <c r="G16" s="125" t="n">
        <v>91.38</v>
      </c>
      <c r="H16" s="125" t="n">
        <v>99.38</v>
      </c>
      <c r="I16" s="125" t="n">
        <v>69.16</v>
      </c>
      <c r="J16" s="125" t="n">
        <v>226.55</v>
      </c>
      <c r="K16" s="125" t="n">
        <v>83.79000000000001</v>
      </c>
    </row>
    <row r="17" ht="19" customHeight="1">
      <c r="A17" s="122" t="n">
        <v>45535</v>
      </c>
      <c r="B17" s="123" t="n">
        <v>550.64</v>
      </c>
      <c r="C17" s="123" t="n">
        <v>471.33</v>
      </c>
      <c r="D17" s="123" t="n">
        <v>215.35</v>
      </c>
      <c r="E17" s="123" t="n">
        <v>77.81</v>
      </c>
      <c r="F17" s="123" t="n">
        <v>41.43</v>
      </c>
      <c r="G17" s="123" t="n">
        <v>92.70999999999999</v>
      </c>
      <c r="H17" s="123" t="n">
        <v>101.24</v>
      </c>
      <c r="I17" s="123" t="n">
        <v>70.23</v>
      </c>
      <c r="J17" s="123" t="n">
        <v>231.29</v>
      </c>
      <c r="K17" s="123" t="n">
        <v>88.17</v>
      </c>
    </row>
    <row r="18" ht="19" customHeight="1">
      <c r="A18" s="124" t="n">
        <v>45565</v>
      </c>
      <c r="B18" s="125" t="n">
        <v>562.2</v>
      </c>
      <c r="C18" s="125" t="n">
        <v>483.68</v>
      </c>
      <c r="D18" s="125" t="n">
        <v>216.88</v>
      </c>
      <c r="E18" s="125" t="n">
        <v>78.42</v>
      </c>
      <c r="F18" s="125" t="n">
        <v>43.81</v>
      </c>
      <c r="G18" s="125" t="n">
        <v>93.95</v>
      </c>
      <c r="H18" s="125" t="n">
        <v>103.22</v>
      </c>
      <c r="I18" s="125" t="n">
        <v>71.43000000000001</v>
      </c>
      <c r="J18" s="125" t="n">
        <v>243.06</v>
      </c>
      <c r="K18" s="125" t="n">
        <v>91.05</v>
      </c>
    </row>
    <row r="19" ht="19" customHeight="1">
      <c r="A19" s="122" t="n">
        <v>45596</v>
      </c>
      <c r="B19" s="123" t="n">
        <v>557.1900000000001</v>
      </c>
      <c r="C19" s="123" t="n">
        <v>479.5</v>
      </c>
      <c r="D19" s="123" t="n">
        <v>213.81</v>
      </c>
      <c r="E19" s="123" t="n">
        <v>74.28</v>
      </c>
      <c r="F19" s="123" t="n">
        <v>42.46</v>
      </c>
      <c r="G19" s="123" t="n">
        <v>91.58</v>
      </c>
      <c r="H19" s="123" t="n">
        <v>99.94</v>
      </c>
      <c r="I19" s="123" t="n">
        <v>70.73999999999999</v>
      </c>
      <c r="J19" s="123" t="n">
        <v>253.51</v>
      </c>
      <c r="K19" s="123" t="n">
        <v>88</v>
      </c>
    </row>
    <row r="20" ht="19" customHeight="1">
      <c r="A20" s="124" t="n">
        <v>45626</v>
      </c>
      <c r="B20" s="125" t="n">
        <v>590.41</v>
      </c>
      <c r="C20" s="125" t="n">
        <v>505.16</v>
      </c>
      <c r="D20" s="125" t="n">
        <v>237.48</v>
      </c>
      <c r="E20" s="125" t="n">
        <v>74.05</v>
      </c>
      <c r="F20" s="125" t="n">
        <v>41.32</v>
      </c>
      <c r="G20" s="125" t="n">
        <v>92.59999999999999</v>
      </c>
      <c r="H20" s="125" t="n">
        <v>101.73</v>
      </c>
      <c r="I20" s="125" t="n">
        <v>71.90000000000001</v>
      </c>
      <c r="J20" s="125" t="n">
        <v>245.59</v>
      </c>
      <c r="K20" s="125" t="n">
        <v>91.73999999999999</v>
      </c>
    </row>
    <row r="21" ht="19" customHeight="1">
      <c r="A21" s="122" t="n">
        <v>45657</v>
      </c>
      <c r="B21" s="123" t="n">
        <v>576.21</v>
      </c>
      <c r="C21" s="123" t="n">
        <v>507.45</v>
      </c>
      <c r="D21" s="123" t="n">
        <v>217.6</v>
      </c>
      <c r="E21" s="123" t="n">
        <v>71.86</v>
      </c>
      <c r="F21" s="123" t="n">
        <v>40.62</v>
      </c>
      <c r="G21" s="123" t="n">
        <v>91.03</v>
      </c>
      <c r="H21" s="123" t="n">
        <v>99.01000000000001</v>
      </c>
      <c r="I21" s="123" t="n">
        <v>71.34</v>
      </c>
      <c r="J21" s="123" t="n">
        <v>242.13</v>
      </c>
      <c r="K21" s="123" t="n">
        <v>84.06</v>
      </c>
    </row>
    <row r="22" ht="19" customHeight="1">
      <c r="A22" s="124" t="n">
        <v>45688</v>
      </c>
      <c r="B22" s="125" t="n">
        <v>591.6799999999999</v>
      </c>
      <c r="C22" s="125" t="n">
        <v>518.4299999999999</v>
      </c>
      <c r="D22" s="125" t="n">
        <v>223.03</v>
      </c>
      <c r="E22" s="125" t="n">
        <v>75.31</v>
      </c>
      <c r="F22" s="125" t="n">
        <v>41.5</v>
      </c>
      <c r="G22" s="125" t="n">
        <v>91.5</v>
      </c>
      <c r="H22" s="125" t="n">
        <v>99.59</v>
      </c>
      <c r="I22" s="125" t="n">
        <v>72.31</v>
      </c>
      <c r="J22" s="125" t="n">
        <v>258.56</v>
      </c>
      <c r="K22" s="125" t="n">
        <v>85.45</v>
      </c>
    </row>
    <row r="23" ht="19" customHeight="1">
      <c r="A23" s="122" t="n">
        <v>45716</v>
      </c>
      <c r="B23" s="123" t="n">
        <v>584.17</v>
      </c>
      <c r="C23" s="123" t="n">
        <v>504.41</v>
      </c>
      <c r="D23" s="123" t="n">
        <v>211.38</v>
      </c>
      <c r="E23" s="123" t="n">
        <v>77.54000000000001</v>
      </c>
      <c r="F23" s="123" t="n">
        <v>41.97</v>
      </c>
      <c r="G23" s="123" t="n">
        <v>93.55</v>
      </c>
      <c r="H23" s="123" t="n">
        <v>101.95</v>
      </c>
      <c r="I23" s="123" t="n">
        <v>73.01000000000001</v>
      </c>
      <c r="J23" s="123" t="n">
        <v>263.27</v>
      </c>
      <c r="K23" s="123" t="n">
        <v>88.61</v>
      </c>
    </row>
    <row r="24" ht="19" customHeight="1">
      <c r="A24" s="124" t="n">
        <v>45747</v>
      </c>
      <c r="B24" s="125" t="n">
        <v>551.62</v>
      </c>
      <c r="C24" s="125" t="n">
        <v>466.15</v>
      </c>
      <c r="D24" s="125" t="n">
        <v>196.9</v>
      </c>
      <c r="E24" s="125" t="n">
        <v>77.68000000000001</v>
      </c>
      <c r="F24" s="125" t="n">
        <v>42.45</v>
      </c>
      <c r="G24" s="125" t="n">
        <v>93.52</v>
      </c>
      <c r="H24" s="125" t="n">
        <v>101.48</v>
      </c>
      <c r="I24" s="125" t="n">
        <v>72.22</v>
      </c>
      <c r="J24" s="125" t="n">
        <v>288.14</v>
      </c>
      <c r="K24" s="125" t="n">
        <v>86.31999999999999</v>
      </c>
    </row>
    <row r="25" ht="19" customHeight="1">
      <c r="A25" s="122" t="n">
        <v>45777</v>
      </c>
      <c r="B25" s="123" t="n">
        <v>546.84</v>
      </c>
      <c r="C25" s="123" t="n">
        <v>472.66</v>
      </c>
      <c r="D25" s="123" t="n">
        <v>192.32</v>
      </c>
      <c r="E25" s="123" t="n">
        <v>80.55</v>
      </c>
      <c r="F25" s="123" t="n">
        <v>42.51</v>
      </c>
      <c r="G25" s="123" t="n">
        <v>93.93000000000001</v>
      </c>
      <c r="H25" s="123" t="n">
        <v>101.2</v>
      </c>
      <c r="I25" s="123" t="n">
        <v>72.31</v>
      </c>
      <c r="J25" s="123" t="n">
        <v>303.77</v>
      </c>
      <c r="K25" s="123" t="n">
        <v>84.20999999999999</v>
      </c>
    </row>
    <row r="26" ht="19" customHeight="1">
      <c r="A26" s="124" t="n">
        <v>45808</v>
      </c>
      <c r="B26" s="125" t="n">
        <v>581.2</v>
      </c>
      <c r="C26" s="125" t="n">
        <v>516.04</v>
      </c>
      <c r="D26" s="125" t="n">
        <v>202.4</v>
      </c>
      <c r="E26" s="125" t="n">
        <v>84.41</v>
      </c>
      <c r="F26" s="125" t="n">
        <v>44.22</v>
      </c>
      <c r="G26" s="125" t="n">
        <v>93.36</v>
      </c>
      <c r="H26" s="125" t="n">
        <v>101.41</v>
      </c>
      <c r="I26" s="125" t="n">
        <v>73.58</v>
      </c>
      <c r="J26" s="125" t="n">
        <v>303.6</v>
      </c>
      <c r="K26" s="125" t="n">
        <v>85.15000000000001</v>
      </c>
    </row>
    <row r="27" ht="19" customHeight="1">
      <c r="A27" s="122" t="n">
        <v>45838</v>
      </c>
      <c r="B27" s="123" t="n">
        <v>611.08</v>
      </c>
      <c r="C27" s="123" t="n">
        <v>548.99</v>
      </c>
      <c r="D27" s="123" t="n">
        <v>213.57</v>
      </c>
      <c r="E27" s="123" t="n">
        <v>86.43000000000001</v>
      </c>
      <c r="F27" s="123" t="n">
        <v>47.31</v>
      </c>
      <c r="G27" s="123" t="n">
        <v>94.72</v>
      </c>
      <c r="H27" s="123" t="n">
        <v>103.52</v>
      </c>
      <c r="I27" s="123" t="n">
        <v>74.93000000000001</v>
      </c>
      <c r="J27" s="123" t="n">
        <v>304.83</v>
      </c>
      <c r="K27" s="123" t="n">
        <v>85.73999999999999</v>
      </c>
    </row>
    <row r="28" ht="19" customHeight="1">
      <c r="A28" s="124" t="n">
        <v>45869</v>
      </c>
      <c r="B28" s="125" t="n">
        <v>625.15</v>
      </c>
      <c r="C28" s="125" t="n">
        <v>562.3</v>
      </c>
      <c r="D28" s="125" t="n">
        <v>217.14</v>
      </c>
      <c r="E28" s="125" t="n">
        <v>84.62</v>
      </c>
      <c r="F28" s="125" t="n">
        <v>47.63</v>
      </c>
      <c r="G28" s="125" t="n">
        <v>94.47</v>
      </c>
      <c r="H28" s="125" t="n">
        <v>103.43</v>
      </c>
      <c r="I28" s="125" t="n">
        <v>75.03</v>
      </c>
      <c r="J28" s="125" t="n">
        <v>302.96</v>
      </c>
      <c r="K28" s="125" t="n">
        <v>85.81999999999999</v>
      </c>
    </row>
    <row r="29" ht="19" customHeight="1">
      <c r="A29" s="122" t="n">
        <v>45900</v>
      </c>
      <c r="B29" s="123" t="n">
        <v>637.98</v>
      </c>
      <c r="C29" s="123" t="n">
        <v>567.66</v>
      </c>
      <c r="D29" s="123" t="n">
        <v>232.75</v>
      </c>
      <c r="E29" s="123" t="n">
        <v>88.45</v>
      </c>
      <c r="F29" s="123" t="n">
        <v>48.9</v>
      </c>
      <c r="G29" s="123" t="n">
        <v>95.59</v>
      </c>
      <c r="H29" s="123" t="n">
        <v>104.51</v>
      </c>
      <c r="I29" s="123" t="n">
        <v>75.86</v>
      </c>
      <c r="J29" s="123" t="n">
        <v>318.07</v>
      </c>
      <c r="K29" s="123" t="n">
        <v>88.8</v>
      </c>
    </row>
    <row r="30" ht="19" customHeight="1">
      <c r="A30" s="124" t="n">
        <v>45930</v>
      </c>
      <c r="B30" s="125" t="n">
        <v>660.71</v>
      </c>
      <c r="C30" s="125" t="n">
        <v>598.1799999999999</v>
      </c>
      <c r="D30" s="125" t="n">
        <v>240.15</v>
      </c>
      <c r="E30" s="125" t="n">
        <v>90.28</v>
      </c>
      <c r="F30" s="125" t="n">
        <v>52.37</v>
      </c>
      <c r="G30" s="125" t="n">
        <v>96.67</v>
      </c>
      <c r="H30" s="125" t="n">
        <v>106.47</v>
      </c>
      <c r="I30" s="125" t="n">
        <v>76.53</v>
      </c>
      <c r="J30" s="125" t="n">
        <v>355.47</v>
      </c>
      <c r="K30" s="125" t="n">
        <v>88.84999999999999</v>
      </c>
    </row>
    <row r="31" ht="19" customHeight="1">
      <c r="A31" s="122" t="n">
        <v>45961</v>
      </c>
      <c r="B31" s="123" t="n">
        <v>676.46</v>
      </c>
      <c r="C31" s="123" t="n">
        <v>626.78</v>
      </c>
      <c r="D31" s="123" t="n">
        <v>244.39</v>
      </c>
      <c r="E31" s="123" t="n">
        <v>91.36</v>
      </c>
      <c r="F31" s="123" t="n">
        <v>54.24</v>
      </c>
      <c r="G31" s="123" t="n">
        <v>97.26000000000001</v>
      </c>
      <c r="H31" s="123" t="n">
        <v>106.63</v>
      </c>
      <c r="I31" s="123" t="n">
        <v>76.52</v>
      </c>
      <c r="J31" s="123" t="n">
        <v>368.12</v>
      </c>
      <c r="K31" s="123" t="n">
        <v>86.68000000000001</v>
      </c>
    </row>
    <row r="32" ht="19" customHeight="1">
      <c r="A32" s="124" t="n">
        <v>45991</v>
      </c>
      <c r="B32" s="125" t="n">
        <v>677.78</v>
      </c>
      <c r="C32" s="125" t="n">
        <v>616.99</v>
      </c>
      <c r="D32" s="125" t="n">
        <v>246.89</v>
      </c>
      <c r="E32" s="125" t="n">
        <v>92.04000000000001</v>
      </c>
      <c r="F32" s="125" t="n">
        <v>53.28</v>
      </c>
      <c r="G32" s="125" t="n">
        <v>97.84999999999999</v>
      </c>
      <c r="H32" s="125" t="n">
        <v>107.63</v>
      </c>
      <c r="I32" s="125" t="n">
        <v>77.09999999999999</v>
      </c>
      <c r="J32" s="125" t="n">
        <v>387.88</v>
      </c>
      <c r="K32" s="125" t="n">
        <v>88.78</v>
      </c>
    </row>
    <row r="33" ht="19" customHeight="1">
      <c r="A33" s="122" t="n">
        <v>46022</v>
      </c>
      <c r="B33" s="123" t="n">
        <v>678.3200000000001</v>
      </c>
      <c r="C33" s="123" t="n">
        <v>612.86</v>
      </c>
      <c r="D33" s="123" t="n">
        <v>245.14</v>
      </c>
      <c r="E33" s="123" t="n">
        <v>94.53</v>
      </c>
      <c r="F33" s="123" t="n">
        <v>54.43</v>
      </c>
      <c r="G33" s="123" t="n">
        <v>97.58</v>
      </c>
      <c r="H33" s="123" t="n">
        <v>106.83</v>
      </c>
      <c r="I33" s="123" t="n">
        <v>77.48</v>
      </c>
      <c r="J33" s="123" t="n">
        <v>396.31</v>
      </c>
      <c r="K33" s="123" t="n">
        <v>86.79000000000001</v>
      </c>
    </row>
    <row r="34" ht="19" customHeight="1">
      <c r="A34" s="124" t="n">
        <v>46053</v>
      </c>
      <c r="B34" s="125" t="n">
        <v>688.3099999999999</v>
      </c>
      <c r="C34" s="125" t="n">
        <v>620.4</v>
      </c>
      <c r="D34" s="125" t="n">
        <v>258.57</v>
      </c>
      <c r="E34" s="125" t="n">
        <v>99.17</v>
      </c>
      <c r="F34" s="125" t="n">
        <v>58.79</v>
      </c>
      <c r="G34" s="125" t="n">
        <v>97.81999999999999</v>
      </c>
      <c r="H34" s="125" t="n">
        <v>107.2</v>
      </c>
      <c r="I34" s="125" t="n">
        <v>77.95</v>
      </c>
      <c r="J34" s="125" t="n">
        <v>444.95</v>
      </c>
      <c r="K34" s="125" t="n">
        <v>89.06</v>
      </c>
    </row>
    <row r="35" ht="19" customHeight="1">
      <c r="A35" s="122" t="n">
        <v>46081</v>
      </c>
      <c r="B35" s="123" t="n">
        <v>682.36</v>
      </c>
      <c r="C35" s="123" t="n">
        <v>605.86</v>
      </c>
      <c r="D35" s="123" t="n">
        <v>260.33</v>
      </c>
      <c r="E35" s="123" t="n">
        <v>103.74</v>
      </c>
      <c r="F35" s="123" t="n">
        <v>62.26</v>
      </c>
      <c r="G35" s="123" t="n">
        <v>99.39</v>
      </c>
      <c r="H35" s="123" t="n">
        <v>108.68</v>
      </c>
      <c r="I35" s="123" t="n">
        <v>77.94</v>
      </c>
      <c r="J35" s="123" t="n">
        <v>483.75</v>
      </c>
      <c r="K35" s="123" t="n">
        <v>93.84999999999999</v>
      </c>
    </row>
    <row r="36" ht="19" customHeight="1">
      <c r="A36" s="124" t="n">
        <v>46112</v>
      </c>
      <c r="B36" s="125" t="n">
        <v>648.67</v>
      </c>
      <c r="C36" s="125" t="n">
        <v>576.54</v>
      </c>
      <c r="D36" s="125" t="n">
        <v>247.41</v>
      </c>
      <c r="E36" s="125" t="n">
        <v>95.62</v>
      </c>
      <c r="F36" s="125" t="n">
        <v>56.5</v>
      </c>
      <c r="G36" s="125" t="n">
        <v>97.59999999999999</v>
      </c>
      <c r="H36" s="125" t="n">
        <v>106.43</v>
      </c>
      <c r="I36" s="125" t="n">
        <v>77.2</v>
      </c>
      <c r="J36" s="125" t="n">
        <v>430.29</v>
      </c>
      <c r="K36" s="125" t="n">
        <v>87.92</v>
      </c>
    </row>
    <row r="37" ht="19" customHeight="1">
      <c r="A37" s="122" t="n">
        <v>46142</v>
      </c>
      <c r="B37" s="123" t="n">
        <v>716.8099999999999</v>
      </c>
      <c r="C37" s="123" t="n">
        <v>667</v>
      </c>
      <c r="D37" s="123" t="n">
        <v>277.31</v>
      </c>
      <c r="E37" s="123" t="n">
        <v>100.73</v>
      </c>
      <c r="F37" s="123" t="n">
        <v>63.66</v>
      </c>
      <c r="G37" s="123" t="n">
        <v>97.77</v>
      </c>
      <c r="H37" s="123" t="n">
        <v>106.73</v>
      </c>
      <c r="I37" s="123" t="n">
        <v>78.38</v>
      </c>
      <c r="J37" s="123" t="n">
        <v>423.66</v>
      </c>
      <c r="K37" s="123" t="n">
        <v>95.48999999999999</v>
      </c>
    </row>
    <row r="38" ht="19" customHeight="1">
      <c r="A38" s="124" t="n">
        <v>46173</v>
      </c>
      <c r="B38" s="125" t="n">
        <v>754.54</v>
      </c>
      <c r="C38" s="125" t="n">
        <v>737.5</v>
      </c>
      <c r="D38" s="125" t="n">
        <v>289.74</v>
      </c>
      <c r="E38" s="125" t="n">
        <v>103.17</v>
      </c>
      <c r="F38" s="125" t="n">
        <v>68.23999999999999</v>
      </c>
      <c r="G38" s="125" t="n">
        <v>98.06</v>
      </c>
      <c r="H38" s="125" t="n">
        <v>107.65</v>
      </c>
      <c r="I38" s="125" t="n">
        <v>78.72</v>
      </c>
      <c r="J38" s="125" t="n">
        <v>417.12</v>
      </c>
      <c r="K38" s="125" t="n">
        <v>94.86</v>
      </c>
    </row>
    <row r="39" ht="19" customHeight="1">
      <c r="A39" s="122" t="n">
        <v>46203</v>
      </c>
      <c r="B39" s="123" t="n">
        <v>746.77</v>
      </c>
      <c r="C39" s="123" t="n">
        <v>736.4</v>
      </c>
      <c r="D39" s="123" t="n">
        <v>300.45</v>
      </c>
      <c r="E39" s="123" t="n">
        <v>103.88</v>
      </c>
      <c r="F39" s="123" t="n">
        <v>68.41</v>
      </c>
      <c r="G39" s="123" t="n">
        <v>98.31</v>
      </c>
      <c r="H39" s="123" t="n">
        <v>107.77</v>
      </c>
      <c r="I39" s="123" t="n">
        <v>78.78</v>
      </c>
      <c r="J39" s="123" t="n">
        <v>368.38</v>
      </c>
      <c r="K39" s="123" t="n">
        <v>96.43000000000001</v>
      </c>
    </row>
    <row r="40" ht="19" customHeight="1">
      <c r="A40" s="124" t="n">
        <v>46234</v>
      </c>
      <c r="B40" s="125" t="n">
        <v>747.03</v>
      </c>
      <c r="C40" s="125" t="n">
        <v>687.99</v>
      </c>
      <c r="D40" s="125" t="n">
        <v>291.2</v>
      </c>
      <c r="E40" s="125" t="n">
        <v>105.58</v>
      </c>
      <c r="F40" s="125" t="n">
        <v>64.09</v>
      </c>
      <c r="G40" s="125" t="n">
        <v>96.7</v>
      </c>
      <c r="H40" s="125" t="n">
        <v>105.35</v>
      </c>
      <c r="I40" s="125" t="n">
        <v>78.66</v>
      </c>
      <c r="J40" s="125" t="n">
        <v>371.54</v>
      </c>
      <c r="K40" s="125" t="n">
        <v>98.95</v>
      </c>
    </row>
    <row r="41" ht="19" customHeight="1">
      <c r="A41" s="122" t="n">
        <v>46265</v>
      </c>
      <c r="B41" s="123" t="n">
        <v>766.95</v>
      </c>
      <c r="C41" s="123" t="n">
        <v>716.76</v>
      </c>
      <c r="D41" s="123" t="n">
        <v>293.93</v>
      </c>
      <c r="E41" s="123" t="n">
        <v>107.43</v>
      </c>
      <c r="F41" s="123" t="n">
        <v>67.02</v>
      </c>
      <c r="G41" s="123" t="n">
        <v>97.41</v>
      </c>
      <c r="H41" s="123" t="n">
        <v>105.77</v>
      </c>
      <c r="I41" s="123" t="n">
        <v>79.38</v>
      </c>
      <c r="J41" s="123" t="n">
        <v>408.42</v>
      </c>
      <c r="K41" s="123" t="n">
        <v>96.44</v>
      </c>
    </row>
  </sheetData>
  <autoFilter ref="A4:K41"/>
  <mergeCells count="2">
    <mergeCell ref="A2:K2"/>
    <mergeCell ref="A1:K1"/>
  </mergeCells>
  <pageMargins left="0.25" right="0.25" top="0.4" bottom="0.4" header="0.5" footer="0.5"/>
  <pageSetup orientation="landscape" paperSize="1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V40"/>
  <sheetViews>
    <sheetView showGridLines="0" zoomScale="88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28" customHeight="1">
      <c r="A1" s="120" t="inlineStr">
        <is>
          <t>Monthly Return Calculations</t>
        </is>
      </c>
    </row>
    <row r="2" ht="28" customHeight="1">
      <c r="A2" s="121" t="inlineStr">
        <is>
          <t>Formula-driven monthly returns from the adjusted-price series. The FRED 3-month Treasury series is aligned by month; excess-return helper columns are hidden.</t>
        </is>
      </c>
    </row>
    <row r="4" ht="34" customHeight="1">
      <c r="A4" s="74" t="inlineStr">
        <is>
          <t>Date</t>
        </is>
      </c>
      <c r="B4" s="74" t="inlineStr">
        <is>
          <t>SPY</t>
        </is>
      </c>
      <c r="C4" s="74" t="inlineStr">
        <is>
          <t>QQQ</t>
        </is>
      </c>
      <c r="D4" s="74" t="inlineStr">
        <is>
          <t>IWM</t>
        </is>
      </c>
      <c r="E4" s="74" t="inlineStr">
        <is>
          <t>EFA</t>
        </is>
      </c>
      <c r="F4" s="74" t="inlineStr">
        <is>
          <t>EEM</t>
        </is>
      </c>
      <c r="G4" s="74" t="inlineStr">
        <is>
          <t>AGG</t>
        </is>
      </c>
      <c r="H4" s="74" t="inlineStr">
        <is>
          <t>LQD</t>
        </is>
      </c>
      <c r="I4" s="74" t="inlineStr">
        <is>
          <t>HYG</t>
        </is>
      </c>
      <c r="J4" s="74" t="inlineStr">
        <is>
          <t>GLD</t>
        </is>
      </c>
      <c r="K4" s="74" t="inlineStr">
        <is>
          <t>VNQ</t>
        </is>
      </c>
      <c r="L4" s="74" t="inlineStr">
        <is>
          <t>RF Monthly</t>
        </is>
      </c>
      <c r="M4" s="126" t="inlineStr">
        <is>
          <t>SPY Downside Excess</t>
        </is>
      </c>
      <c r="N4" s="126" t="inlineStr">
        <is>
          <t>QQQ Downside Excess</t>
        </is>
      </c>
      <c r="O4" s="126" t="inlineStr">
        <is>
          <t>IWM Downside Excess</t>
        </is>
      </c>
      <c r="P4" s="126" t="inlineStr">
        <is>
          <t>EFA Downside Excess</t>
        </is>
      </c>
      <c r="Q4" s="126" t="inlineStr">
        <is>
          <t>EEM Downside Excess</t>
        </is>
      </c>
      <c r="R4" s="126" t="inlineStr">
        <is>
          <t>AGG Downside Excess</t>
        </is>
      </c>
      <c r="S4" s="126" t="inlineStr">
        <is>
          <t>LQD Downside Excess</t>
        </is>
      </c>
      <c r="T4" s="126" t="inlineStr">
        <is>
          <t>HYG Downside Excess</t>
        </is>
      </c>
      <c r="U4" s="126" t="inlineStr">
        <is>
          <t>GLD Downside Excess</t>
        </is>
      </c>
      <c r="V4" s="126" t="inlineStr">
        <is>
          <t>VNQ Downside Excess</t>
        </is>
      </c>
    </row>
    <row r="5" ht="19" customHeight="1">
      <c r="A5" s="122" t="n">
        <v>45199</v>
      </c>
      <c r="B5" s="127">
        <f>IFERROR('Monthly Prices'!B6/'Monthly Prices'!B5-1,"")</f>
        <v/>
      </c>
      <c r="C5" s="127">
        <f>IFERROR('Monthly Prices'!C6/'Monthly Prices'!C5-1,"")</f>
        <v/>
      </c>
      <c r="D5" s="127">
        <f>IFERROR('Monthly Prices'!D6/'Monthly Prices'!D5-1,"")</f>
        <v/>
      </c>
      <c r="E5" s="127">
        <f>IFERROR('Monthly Prices'!E6/'Monthly Prices'!E5-1,"")</f>
        <v/>
      </c>
      <c r="F5" s="127">
        <f>IFERROR('Monthly Prices'!F6/'Monthly Prices'!F5-1,"")</f>
        <v/>
      </c>
      <c r="G5" s="127">
        <f>IFERROR('Monthly Prices'!G6/'Monthly Prices'!G5-1,"")</f>
        <v/>
      </c>
      <c r="H5" s="127">
        <f>IFERROR('Monthly Prices'!H6/'Monthly Prices'!H5-1,"")</f>
        <v/>
      </c>
      <c r="I5" s="127">
        <f>IFERROR('Monthly Prices'!I6/'Monthly Prices'!I5-1,"")</f>
        <v/>
      </c>
      <c r="J5" s="127">
        <f>IFERROR('Monthly Prices'!J6/'Monthly Prices'!J5-1,"")</f>
        <v/>
      </c>
      <c r="K5" s="127">
        <f>IFERROR('Monthly Prices'!K6/'Monthly Prices'!K5-1,"")</f>
        <v/>
      </c>
      <c r="L5" s="151">
        <f>'Risk-Free Rates'!C5</f>
        <v/>
      </c>
      <c r="M5" s="128">
        <f>MIN(B5-$L5,0)</f>
        <v/>
      </c>
      <c r="N5" s="128">
        <f>MIN(C5-$L5,0)</f>
        <v/>
      </c>
      <c r="O5" s="128">
        <f>MIN(D5-$L5,0)</f>
        <v/>
      </c>
      <c r="P5" s="128">
        <f>MIN(E5-$L5,0)</f>
        <v/>
      </c>
      <c r="Q5" s="128">
        <f>MIN(F5-$L5,0)</f>
        <v/>
      </c>
      <c r="R5" s="128">
        <f>MIN(G5-$L5,0)</f>
        <v/>
      </c>
      <c r="S5" s="128">
        <f>MIN(H5-$L5,0)</f>
        <v/>
      </c>
      <c r="T5" s="128">
        <f>MIN(I5-$L5,0)</f>
        <v/>
      </c>
      <c r="U5" s="128">
        <f>MIN(J5-$L5,0)</f>
        <v/>
      </c>
      <c r="V5" s="128">
        <f>MIN(K5-$L5,0)</f>
        <v/>
      </c>
    </row>
    <row r="6" ht="19" customHeight="1">
      <c r="A6" s="124" t="n">
        <v>45230</v>
      </c>
      <c r="B6" s="129">
        <f>IFERROR('Monthly Prices'!B7/'Monthly Prices'!B6-1,"")</f>
        <v/>
      </c>
      <c r="C6" s="129">
        <f>IFERROR('Monthly Prices'!C7/'Monthly Prices'!C6-1,"")</f>
        <v/>
      </c>
      <c r="D6" s="129">
        <f>IFERROR('Monthly Prices'!D7/'Monthly Prices'!D6-1,"")</f>
        <v/>
      </c>
      <c r="E6" s="129">
        <f>IFERROR('Monthly Prices'!E7/'Monthly Prices'!E6-1,"")</f>
        <v/>
      </c>
      <c r="F6" s="129">
        <f>IFERROR('Monthly Prices'!F7/'Monthly Prices'!F6-1,"")</f>
        <v/>
      </c>
      <c r="G6" s="129">
        <f>IFERROR('Monthly Prices'!G7/'Monthly Prices'!G6-1,"")</f>
        <v/>
      </c>
      <c r="H6" s="129">
        <f>IFERROR('Monthly Prices'!H7/'Monthly Prices'!H6-1,"")</f>
        <v/>
      </c>
      <c r="I6" s="129">
        <f>IFERROR('Monthly Prices'!I7/'Monthly Prices'!I6-1,"")</f>
        <v/>
      </c>
      <c r="J6" s="129">
        <f>IFERROR('Monthly Prices'!J7/'Monthly Prices'!J6-1,"")</f>
        <v/>
      </c>
      <c r="K6" s="129">
        <f>IFERROR('Monthly Prices'!K7/'Monthly Prices'!K6-1,"")</f>
        <v/>
      </c>
      <c r="L6" s="151">
        <f>'Risk-Free Rates'!C6</f>
        <v/>
      </c>
      <c r="M6" s="128">
        <f>MIN(B6-$L6,0)</f>
        <v/>
      </c>
      <c r="N6" s="128">
        <f>MIN(C6-$L6,0)</f>
        <v/>
      </c>
      <c r="O6" s="128">
        <f>MIN(D6-$L6,0)</f>
        <v/>
      </c>
      <c r="P6" s="128">
        <f>MIN(E6-$L6,0)</f>
        <v/>
      </c>
      <c r="Q6" s="128">
        <f>MIN(F6-$L6,0)</f>
        <v/>
      </c>
      <c r="R6" s="128">
        <f>MIN(G6-$L6,0)</f>
        <v/>
      </c>
      <c r="S6" s="128">
        <f>MIN(H6-$L6,0)</f>
        <v/>
      </c>
      <c r="T6" s="128">
        <f>MIN(I6-$L6,0)</f>
        <v/>
      </c>
      <c r="U6" s="128">
        <f>MIN(J6-$L6,0)</f>
        <v/>
      </c>
      <c r="V6" s="128">
        <f>MIN(K6-$L6,0)</f>
        <v/>
      </c>
    </row>
    <row r="7" ht="19" customHeight="1">
      <c r="A7" s="122" t="n">
        <v>45260</v>
      </c>
      <c r="B7" s="127">
        <f>IFERROR('Monthly Prices'!B8/'Monthly Prices'!B7-1,"")</f>
        <v/>
      </c>
      <c r="C7" s="127">
        <f>IFERROR('Monthly Prices'!C8/'Monthly Prices'!C7-1,"")</f>
        <v/>
      </c>
      <c r="D7" s="127">
        <f>IFERROR('Monthly Prices'!D8/'Monthly Prices'!D7-1,"")</f>
        <v/>
      </c>
      <c r="E7" s="127">
        <f>IFERROR('Monthly Prices'!E8/'Monthly Prices'!E7-1,"")</f>
        <v/>
      </c>
      <c r="F7" s="127">
        <f>IFERROR('Monthly Prices'!F8/'Monthly Prices'!F7-1,"")</f>
        <v/>
      </c>
      <c r="G7" s="127">
        <f>IFERROR('Monthly Prices'!G8/'Monthly Prices'!G7-1,"")</f>
        <v/>
      </c>
      <c r="H7" s="127">
        <f>IFERROR('Monthly Prices'!H8/'Monthly Prices'!H7-1,"")</f>
        <v/>
      </c>
      <c r="I7" s="127">
        <f>IFERROR('Monthly Prices'!I8/'Monthly Prices'!I7-1,"")</f>
        <v/>
      </c>
      <c r="J7" s="127">
        <f>IFERROR('Monthly Prices'!J8/'Monthly Prices'!J7-1,"")</f>
        <v/>
      </c>
      <c r="K7" s="127">
        <f>IFERROR('Monthly Prices'!K8/'Monthly Prices'!K7-1,"")</f>
        <v/>
      </c>
      <c r="L7" s="151">
        <f>'Risk-Free Rates'!C7</f>
        <v/>
      </c>
      <c r="M7" s="128">
        <f>MIN(B7-$L7,0)</f>
        <v/>
      </c>
      <c r="N7" s="128">
        <f>MIN(C7-$L7,0)</f>
        <v/>
      </c>
      <c r="O7" s="128">
        <f>MIN(D7-$L7,0)</f>
        <v/>
      </c>
      <c r="P7" s="128">
        <f>MIN(E7-$L7,0)</f>
        <v/>
      </c>
      <c r="Q7" s="128">
        <f>MIN(F7-$L7,0)</f>
        <v/>
      </c>
      <c r="R7" s="128">
        <f>MIN(G7-$L7,0)</f>
        <v/>
      </c>
      <c r="S7" s="128">
        <f>MIN(H7-$L7,0)</f>
        <v/>
      </c>
      <c r="T7" s="128">
        <f>MIN(I7-$L7,0)</f>
        <v/>
      </c>
      <c r="U7" s="128">
        <f>MIN(J7-$L7,0)</f>
        <v/>
      </c>
      <c r="V7" s="128">
        <f>MIN(K7-$L7,0)</f>
        <v/>
      </c>
    </row>
    <row r="8" ht="19" customHeight="1">
      <c r="A8" s="124" t="n">
        <v>45291</v>
      </c>
      <c r="B8" s="129">
        <f>IFERROR('Monthly Prices'!B9/'Monthly Prices'!B8-1,"")</f>
        <v/>
      </c>
      <c r="C8" s="129">
        <f>IFERROR('Monthly Prices'!C9/'Monthly Prices'!C8-1,"")</f>
        <v/>
      </c>
      <c r="D8" s="129">
        <f>IFERROR('Monthly Prices'!D9/'Monthly Prices'!D8-1,"")</f>
        <v/>
      </c>
      <c r="E8" s="129">
        <f>IFERROR('Monthly Prices'!E9/'Monthly Prices'!E8-1,"")</f>
        <v/>
      </c>
      <c r="F8" s="129">
        <f>IFERROR('Monthly Prices'!F9/'Monthly Prices'!F8-1,"")</f>
        <v/>
      </c>
      <c r="G8" s="129">
        <f>IFERROR('Monthly Prices'!G9/'Monthly Prices'!G8-1,"")</f>
        <v/>
      </c>
      <c r="H8" s="129">
        <f>IFERROR('Monthly Prices'!H9/'Monthly Prices'!H8-1,"")</f>
        <v/>
      </c>
      <c r="I8" s="129">
        <f>IFERROR('Monthly Prices'!I9/'Monthly Prices'!I8-1,"")</f>
        <v/>
      </c>
      <c r="J8" s="129">
        <f>IFERROR('Monthly Prices'!J9/'Monthly Prices'!J8-1,"")</f>
        <v/>
      </c>
      <c r="K8" s="129">
        <f>IFERROR('Monthly Prices'!K9/'Monthly Prices'!K8-1,"")</f>
        <v/>
      </c>
      <c r="L8" s="151">
        <f>'Risk-Free Rates'!C8</f>
        <v/>
      </c>
      <c r="M8" s="128">
        <f>MIN(B8-$L8,0)</f>
        <v/>
      </c>
      <c r="N8" s="128">
        <f>MIN(C8-$L8,0)</f>
        <v/>
      </c>
      <c r="O8" s="128">
        <f>MIN(D8-$L8,0)</f>
        <v/>
      </c>
      <c r="P8" s="128">
        <f>MIN(E8-$L8,0)</f>
        <v/>
      </c>
      <c r="Q8" s="128">
        <f>MIN(F8-$L8,0)</f>
        <v/>
      </c>
      <c r="R8" s="128">
        <f>MIN(G8-$L8,0)</f>
        <v/>
      </c>
      <c r="S8" s="128">
        <f>MIN(H8-$L8,0)</f>
        <v/>
      </c>
      <c r="T8" s="128">
        <f>MIN(I8-$L8,0)</f>
        <v/>
      </c>
      <c r="U8" s="128">
        <f>MIN(J8-$L8,0)</f>
        <v/>
      </c>
      <c r="V8" s="128">
        <f>MIN(K8-$L8,0)</f>
        <v/>
      </c>
    </row>
    <row r="9" ht="19" customHeight="1">
      <c r="A9" s="122" t="n">
        <v>45322</v>
      </c>
      <c r="B9" s="127">
        <f>IFERROR('Monthly Prices'!B10/'Monthly Prices'!B9-1,"")</f>
        <v/>
      </c>
      <c r="C9" s="127">
        <f>IFERROR('Monthly Prices'!C10/'Monthly Prices'!C9-1,"")</f>
        <v/>
      </c>
      <c r="D9" s="127">
        <f>IFERROR('Monthly Prices'!D10/'Monthly Prices'!D9-1,"")</f>
        <v/>
      </c>
      <c r="E9" s="127">
        <f>IFERROR('Monthly Prices'!E10/'Monthly Prices'!E9-1,"")</f>
        <v/>
      </c>
      <c r="F9" s="127">
        <f>IFERROR('Monthly Prices'!F10/'Monthly Prices'!F9-1,"")</f>
        <v/>
      </c>
      <c r="G9" s="127">
        <f>IFERROR('Monthly Prices'!G10/'Monthly Prices'!G9-1,"")</f>
        <v/>
      </c>
      <c r="H9" s="127">
        <f>IFERROR('Monthly Prices'!H10/'Monthly Prices'!H9-1,"")</f>
        <v/>
      </c>
      <c r="I9" s="127">
        <f>IFERROR('Monthly Prices'!I10/'Monthly Prices'!I9-1,"")</f>
        <v/>
      </c>
      <c r="J9" s="127">
        <f>IFERROR('Monthly Prices'!J10/'Monthly Prices'!J9-1,"")</f>
        <v/>
      </c>
      <c r="K9" s="127">
        <f>IFERROR('Monthly Prices'!K10/'Monthly Prices'!K9-1,"")</f>
        <v/>
      </c>
      <c r="L9" s="151">
        <f>'Risk-Free Rates'!C9</f>
        <v/>
      </c>
      <c r="M9" s="128">
        <f>MIN(B9-$L9,0)</f>
        <v/>
      </c>
      <c r="N9" s="128">
        <f>MIN(C9-$L9,0)</f>
        <v/>
      </c>
      <c r="O9" s="128">
        <f>MIN(D9-$L9,0)</f>
        <v/>
      </c>
      <c r="P9" s="128">
        <f>MIN(E9-$L9,0)</f>
        <v/>
      </c>
      <c r="Q9" s="128">
        <f>MIN(F9-$L9,0)</f>
        <v/>
      </c>
      <c r="R9" s="128">
        <f>MIN(G9-$L9,0)</f>
        <v/>
      </c>
      <c r="S9" s="128">
        <f>MIN(H9-$L9,0)</f>
        <v/>
      </c>
      <c r="T9" s="128">
        <f>MIN(I9-$L9,0)</f>
        <v/>
      </c>
      <c r="U9" s="128">
        <f>MIN(J9-$L9,0)</f>
        <v/>
      </c>
      <c r="V9" s="128">
        <f>MIN(K9-$L9,0)</f>
        <v/>
      </c>
    </row>
    <row r="10" ht="19" customHeight="1">
      <c r="A10" s="124" t="n">
        <v>45351</v>
      </c>
      <c r="B10" s="129">
        <f>IFERROR('Monthly Prices'!B11/'Monthly Prices'!B10-1,"")</f>
        <v/>
      </c>
      <c r="C10" s="129">
        <f>IFERROR('Monthly Prices'!C11/'Monthly Prices'!C10-1,"")</f>
        <v/>
      </c>
      <c r="D10" s="129">
        <f>IFERROR('Monthly Prices'!D11/'Monthly Prices'!D10-1,"")</f>
        <v/>
      </c>
      <c r="E10" s="129">
        <f>IFERROR('Monthly Prices'!E11/'Monthly Prices'!E10-1,"")</f>
        <v/>
      </c>
      <c r="F10" s="129">
        <f>IFERROR('Monthly Prices'!F11/'Monthly Prices'!F10-1,"")</f>
        <v/>
      </c>
      <c r="G10" s="129">
        <f>IFERROR('Monthly Prices'!G11/'Monthly Prices'!G10-1,"")</f>
        <v/>
      </c>
      <c r="H10" s="129">
        <f>IFERROR('Monthly Prices'!H11/'Monthly Prices'!H10-1,"")</f>
        <v/>
      </c>
      <c r="I10" s="129">
        <f>IFERROR('Monthly Prices'!I11/'Monthly Prices'!I10-1,"")</f>
        <v/>
      </c>
      <c r="J10" s="129">
        <f>IFERROR('Monthly Prices'!J11/'Monthly Prices'!J10-1,"")</f>
        <v/>
      </c>
      <c r="K10" s="129">
        <f>IFERROR('Monthly Prices'!K11/'Monthly Prices'!K10-1,"")</f>
        <v/>
      </c>
      <c r="L10" s="151">
        <f>'Risk-Free Rates'!C10</f>
        <v/>
      </c>
      <c r="M10" s="128">
        <f>MIN(B10-$L10,0)</f>
        <v/>
      </c>
      <c r="N10" s="128">
        <f>MIN(C10-$L10,0)</f>
        <v/>
      </c>
      <c r="O10" s="128">
        <f>MIN(D10-$L10,0)</f>
        <v/>
      </c>
      <c r="P10" s="128">
        <f>MIN(E10-$L10,0)</f>
        <v/>
      </c>
      <c r="Q10" s="128">
        <f>MIN(F10-$L10,0)</f>
        <v/>
      </c>
      <c r="R10" s="128">
        <f>MIN(G10-$L10,0)</f>
        <v/>
      </c>
      <c r="S10" s="128">
        <f>MIN(H10-$L10,0)</f>
        <v/>
      </c>
      <c r="T10" s="128">
        <f>MIN(I10-$L10,0)</f>
        <v/>
      </c>
      <c r="U10" s="128">
        <f>MIN(J10-$L10,0)</f>
        <v/>
      </c>
      <c r="V10" s="128">
        <f>MIN(K10-$L10,0)</f>
        <v/>
      </c>
    </row>
    <row r="11" ht="19" customHeight="1">
      <c r="A11" s="122" t="n">
        <v>45382</v>
      </c>
      <c r="B11" s="127">
        <f>IFERROR('Monthly Prices'!B12/'Monthly Prices'!B11-1,"")</f>
        <v/>
      </c>
      <c r="C11" s="127">
        <f>IFERROR('Monthly Prices'!C12/'Monthly Prices'!C11-1,"")</f>
        <v/>
      </c>
      <c r="D11" s="127">
        <f>IFERROR('Monthly Prices'!D12/'Monthly Prices'!D11-1,"")</f>
        <v/>
      </c>
      <c r="E11" s="127">
        <f>IFERROR('Monthly Prices'!E12/'Monthly Prices'!E11-1,"")</f>
        <v/>
      </c>
      <c r="F11" s="127">
        <f>IFERROR('Monthly Prices'!F12/'Monthly Prices'!F11-1,"")</f>
        <v/>
      </c>
      <c r="G11" s="127">
        <f>IFERROR('Monthly Prices'!G12/'Monthly Prices'!G11-1,"")</f>
        <v/>
      </c>
      <c r="H11" s="127">
        <f>IFERROR('Monthly Prices'!H12/'Monthly Prices'!H11-1,"")</f>
        <v/>
      </c>
      <c r="I11" s="127">
        <f>IFERROR('Monthly Prices'!I12/'Monthly Prices'!I11-1,"")</f>
        <v/>
      </c>
      <c r="J11" s="127">
        <f>IFERROR('Monthly Prices'!J12/'Monthly Prices'!J11-1,"")</f>
        <v/>
      </c>
      <c r="K11" s="127">
        <f>IFERROR('Monthly Prices'!K12/'Monthly Prices'!K11-1,"")</f>
        <v/>
      </c>
      <c r="L11" s="151">
        <f>'Risk-Free Rates'!C11</f>
        <v/>
      </c>
      <c r="M11" s="128">
        <f>MIN(B11-$L11,0)</f>
        <v/>
      </c>
      <c r="N11" s="128">
        <f>MIN(C11-$L11,0)</f>
        <v/>
      </c>
      <c r="O11" s="128">
        <f>MIN(D11-$L11,0)</f>
        <v/>
      </c>
      <c r="P11" s="128">
        <f>MIN(E11-$L11,0)</f>
        <v/>
      </c>
      <c r="Q11" s="128">
        <f>MIN(F11-$L11,0)</f>
        <v/>
      </c>
      <c r="R11" s="128">
        <f>MIN(G11-$L11,0)</f>
        <v/>
      </c>
      <c r="S11" s="128">
        <f>MIN(H11-$L11,0)</f>
        <v/>
      </c>
      <c r="T11" s="128">
        <f>MIN(I11-$L11,0)</f>
        <v/>
      </c>
      <c r="U11" s="128">
        <f>MIN(J11-$L11,0)</f>
        <v/>
      </c>
      <c r="V11" s="128">
        <f>MIN(K11-$L11,0)</f>
        <v/>
      </c>
    </row>
    <row r="12" ht="19" customHeight="1">
      <c r="A12" s="124" t="n">
        <v>45412</v>
      </c>
      <c r="B12" s="129">
        <f>IFERROR('Monthly Prices'!B13/'Monthly Prices'!B12-1,"")</f>
        <v/>
      </c>
      <c r="C12" s="129">
        <f>IFERROR('Monthly Prices'!C13/'Monthly Prices'!C12-1,"")</f>
        <v/>
      </c>
      <c r="D12" s="129">
        <f>IFERROR('Monthly Prices'!D13/'Monthly Prices'!D12-1,"")</f>
        <v/>
      </c>
      <c r="E12" s="129">
        <f>IFERROR('Monthly Prices'!E13/'Monthly Prices'!E12-1,"")</f>
        <v/>
      </c>
      <c r="F12" s="129">
        <f>IFERROR('Monthly Prices'!F13/'Monthly Prices'!F12-1,"")</f>
        <v/>
      </c>
      <c r="G12" s="129">
        <f>IFERROR('Monthly Prices'!G13/'Monthly Prices'!G12-1,"")</f>
        <v/>
      </c>
      <c r="H12" s="129">
        <f>IFERROR('Monthly Prices'!H13/'Monthly Prices'!H12-1,"")</f>
        <v/>
      </c>
      <c r="I12" s="129">
        <f>IFERROR('Monthly Prices'!I13/'Monthly Prices'!I12-1,"")</f>
        <v/>
      </c>
      <c r="J12" s="129">
        <f>IFERROR('Monthly Prices'!J13/'Monthly Prices'!J12-1,"")</f>
        <v/>
      </c>
      <c r="K12" s="129">
        <f>IFERROR('Monthly Prices'!K13/'Monthly Prices'!K12-1,"")</f>
        <v/>
      </c>
      <c r="L12" s="151">
        <f>'Risk-Free Rates'!C12</f>
        <v/>
      </c>
      <c r="M12" s="128">
        <f>MIN(B12-$L12,0)</f>
        <v/>
      </c>
      <c r="N12" s="128">
        <f>MIN(C12-$L12,0)</f>
        <v/>
      </c>
      <c r="O12" s="128">
        <f>MIN(D12-$L12,0)</f>
        <v/>
      </c>
      <c r="P12" s="128">
        <f>MIN(E12-$L12,0)</f>
        <v/>
      </c>
      <c r="Q12" s="128">
        <f>MIN(F12-$L12,0)</f>
        <v/>
      </c>
      <c r="R12" s="128">
        <f>MIN(G12-$L12,0)</f>
        <v/>
      </c>
      <c r="S12" s="128">
        <f>MIN(H12-$L12,0)</f>
        <v/>
      </c>
      <c r="T12" s="128">
        <f>MIN(I12-$L12,0)</f>
        <v/>
      </c>
      <c r="U12" s="128">
        <f>MIN(J12-$L12,0)</f>
        <v/>
      </c>
      <c r="V12" s="128">
        <f>MIN(K12-$L12,0)</f>
        <v/>
      </c>
    </row>
    <row r="13" ht="19" customHeight="1">
      <c r="A13" s="122" t="n">
        <v>45443</v>
      </c>
      <c r="B13" s="127">
        <f>IFERROR('Monthly Prices'!B14/'Monthly Prices'!B13-1,"")</f>
        <v/>
      </c>
      <c r="C13" s="127">
        <f>IFERROR('Monthly Prices'!C14/'Monthly Prices'!C13-1,"")</f>
        <v/>
      </c>
      <c r="D13" s="127">
        <f>IFERROR('Monthly Prices'!D14/'Monthly Prices'!D13-1,"")</f>
        <v/>
      </c>
      <c r="E13" s="127">
        <f>IFERROR('Monthly Prices'!E14/'Monthly Prices'!E13-1,"")</f>
        <v/>
      </c>
      <c r="F13" s="127">
        <f>IFERROR('Monthly Prices'!F14/'Monthly Prices'!F13-1,"")</f>
        <v/>
      </c>
      <c r="G13" s="127">
        <f>IFERROR('Monthly Prices'!G14/'Monthly Prices'!G13-1,"")</f>
        <v/>
      </c>
      <c r="H13" s="127">
        <f>IFERROR('Monthly Prices'!H14/'Monthly Prices'!H13-1,"")</f>
        <v/>
      </c>
      <c r="I13" s="127">
        <f>IFERROR('Monthly Prices'!I14/'Monthly Prices'!I13-1,"")</f>
        <v/>
      </c>
      <c r="J13" s="127">
        <f>IFERROR('Monthly Prices'!J14/'Monthly Prices'!J13-1,"")</f>
        <v/>
      </c>
      <c r="K13" s="127">
        <f>IFERROR('Monthly Prices'!K14/'Monthly Prices'!K13-1,"")</f>
        <v/>
      </c>
      <c r="L13" s="151">
        <f>'Risk-Free Rates'!C13</f>
        <v/>
      </c>
      <c r="M13" s="128">
        <f>MIN(B13-$L13,0)</f>
        <v/>
      </c>
      <c r="N13" s="128">
        <f>MIN(C13-$L13,0)</f>
        <v/>
      </c>
      <c r="O13" s="128">
        <f>MIN(D13-$L13,0)</f>
        <v/>
      </c>
      <c r="P13" s="128">
        <f>MIN(E13-$L13,0)</f>
        <v/>
      </c>
      <c r="Q13" s="128">
        <f>MIN(F13-$L13,0)</f>
        <v/>
      </c>
      <c r="R13" s="128">
        <f>MIN(G13-$L13,0)</f>
        <v/>
      </c>
      <c r="S13" s="128">
        <f>MIN(H13-$L13,0)</f>
        <v/>
      </c>
      <c r="T13" s="128">
        <f>MIN(I13-$L13,0)</f>
        <v/>
      </c>
      <c r="U13" s="128">
        <f>MIN(J13-$L13,0)</f>
        <v/>
      </c>
      <c r="V13" s="128">
        <f>MIN(K13-$L13,0)</f>
        <v/>
      </c>
    </row>
    <row r="14" ht="19" customHeight="1">
      <c r="A14" s="124" t="n">
        <v>45473</v>
      </c>
      <c r="B14" s="129">
        <f>IFERROR('Monthly Prices'!B15/'Monthly Prices'!B14-1,"")</f>
        <v/>
      </c>
      <c r="C14" s="129">
        <f>IFERROR('Monthly Prices'!C15/'Monthly Prices'!C14-1,"")</f>
        <v/>
      </c>
      <c r="D14" s="129">
        <f>IFERROR('Monthly Prices'!D15/'Monthly Prices'!D14-1,"")</f>
        <v/>
      </c>
      <c r="E14" s="129">
        <f>IFERROR('Monthly Prices'!E15/'Monthly Prices'!E14-1,"")</f>
        <v/>
      </c>
      <c r="F14" s="129">
        <f>IFERROR('Monthly Prices'!F15/'Monthly Prices'!F14-1,"")</f>
        <v/>
      </c>
      <c r="G14" s="129">
        <f>IFERROR('Monthly Prices'!G15/'Monthly Prices'!G14-1,"")</f>
        <v/>
      </c>
      <c r="H14" s="129">
        <f>IFERROR('Monthly Prices'!H15/'Monthly Prices'!H14-1,"")</f>
        <v/>
      </c>
      <c r="I14" s="129">
        <f>IFERROR('Monthly Prices'!I15/'Monthly Prices'!I14-1,"")</f>
        <v/>
      </c>
      <c r="J14" s="129">
        <f>IFERROR('Monthly Prices'!J15/'Monthly Prices'!J14-1,"")</f>
        <v/>
      </c>
      <c r="K14" s="129">
        <f>IFERROR('Monthly Prices'!K15/'Monthly Prices'!K14-1,"")</f>
        <v/>
      </c>
      <c r="L14" s="151">
        <f>'Risk-Free Rates'!C14</f>
        <v/>
      </c>
      <c r="M14" s="128">
        <f>MIN(B14-$L14,0)</f>
        <v/>
      </c>
      <c r="N14" s="128">
        <f>MIN(C14-$L14,0)</f>
        <v/>
      </c>
      <c r="O14" s="128">
        <f>MIN(D14-$L14,0)</f>
        <v/>
      </c>
      <c r="P14" s="128">
        <f>MIN(E14-$L14,0)</f>
        <v/>
      </c>
      <c r="Q14" s="128">
        <f>MIN(F14-$L14,0)</f>
        <v/>
      </c>
      <c r="R14" s="128">
        <f>MIN(G14-$L14,0)</f>
        <v/>
      </c>
      <c r="S14" s="128">
        <f>MIN(H14-$L14,0)</f>
        <v/>
      </c>
      <c r="T14" s="128">
        <f>MIN(I14-$L14,0)</f>
        <v/>
      </c>
      <c r="U14" s="128">
        <f>MIN(J14-$L14,0)</f>
        <v/>
      </c>
      <c r="V14" s="128">
        <f>MIN(K14-$L14,0)</f>
        <v/>
      </c>
    </row>
    <row r="15" ht="19" customHeight="1">
      <c r="A15" s="122" t="n">
        <v>45504</v>
      </c>
      <c r="B15" s="127">
        <f>IFERROR('Monthly Prices'!B16/'Monthly Prices'!B15-1,"")</f>
        <v/>
      </c>
      <c r="C15" s="127">
        <f>IFERROR('Monthly Prices'!C16/'Monthly Prices'!C15-1,"")</f>
        <v/>
      </c>
      <c r="D15" s="127">
        <f>IFERROR('Monthly Prices'!D16/'Monthly Prices'!D15-1,"")</f>
        <v/>
      </c>
      <c r="E15" s="127">
        <f>IFERROR('Monthly Prices'!E16/'Monthly Prices'!E15-1,"")</f>
        <v/>
      </c>
      <c r="F15" s="127">
        <f>IFERROR('Monthly Prices'!F16/'Monthly Prices'!F15-1,"")</f>
        <v/>
      </c>
      <c r="G15" s="127">
        <f>IFERROR('Monthly Prices'!G16/'Monthly Prices'!G15-1,"")</f>
        <v/>
      </c>
      <c r="H15" s="127">
        <f>IFERROR('Monthly Prices'!H16/'Monthly Prices'!H15-1,"")</f>
        <v/>
      </c>
      <c r="I15" s="127">
        <f>IFERROR('Monthly Prices'!I16/'Monthly Prices'!I15-1,"")</f>
        <v/>
      </c>
      <c r="J15" s="127">
        <f>IFERROR('Monthly Prices'!J16/'Monthly Prices'!J15-1,"")</f>
        <v/>
      </c>
      <c r="K15" s="127">
        <f>IFERROR('Monthly Prices'!K16/'Monthly Prices'!K15-1,"")</f>
        <v/>
      </c>
      <c r="L15" s="151">
        <f>'Risk-Free Rates'!C15</f>
        <v/>
      </c>
      <c r="M15" s="128">
        <f>MIN(B15-$L15,0)</f>
        <v/>
      </c>
      <c r="N15" s="128">
        <f>MIN(C15-$L15,0)</f>
        <v/>
      </c>
      <c r="O15" s="128">
        <f>MIN(D15-$L15,0)</f>
        <v/>
      </c>
      <c r="P15" s="128">
        <f>MIN(E15-$L15,0)</f>
        <v/>
      </c>
      <c r="Q15" s="128">
        <f>MIN(F15-$L15,0)</f>
        <v/>
      </c>
      <c r="R15" s="128">
        <f>MIN(G15-$L15,0)</f>
        <v/>
      </c>
      <c r="S15" s="128">
        <f>MIN(H15-$L15,0)</f>
        <v/>
      </c>
      <c r="T15" s="128">
        <f>MIN(I15-$L15,0)</f>
        <v/>
      </c>
      <c r="U15" s="128">
        <f>MIN(J15-$L15,0)</f>
        <v/>
      </c>
      <c r="V15" s="128">
        <f>MIN(K15-$L15,0)</f>
        <v/>
      </c>
    </row>
    <row r="16" ht="19" customHeight="1">
      <c r="A16" s="124" t="n">
        <v>45535</v>
      </c>
      <c r="B16" s="129">
        <f>IFERROR('Monthly Prices'!B17/'Monthly Prices'!B16-1,"")</f>
        <v/>
      </c>
      <c r="C16" s="129">
        <f>IFERROR('Monthly Prices'!C17/'Monthly Prices'!C16-1,"")</f>
        <v/>
      </c>
      <c r="D16" s="129">
        <f>IFERROR('Monthly Prices'!D17/'Monthly Prices'!D16-1,"")</f>
        <v/>
      </c>
      <c r="E16" s="129">
        <f>IFERROR('Monthly Prices'!E17/'Monthly Prices'!E16-1,"")</f>
        <v/>
      </c>
      <c r="F16" s="129">
        <f>IFERROR('Monthly Prices'!F17/'Monthly Prices'!F16-1,"")</f>
        <v/>
      </c>
      <c r="G16" s="129">
        <f>IFERROR('Monthly Prices'!G17/'Monthly Prices'!G16-1,"")</f>
        <v/>
      </c>
      <c r="H16" s="129">
        <f>IFERROR('Monthly Prices'!H17/'Monthly Prices'!H16-1,"")</f>
        <v/>
      </c>
      <c r="I16" s="129">
        <f>IFERROR('Monthly Prices'!I17/'Monthly Prices'!I16-1,"")</f>
        <v/>
      </c>
      <c r="J16" s="129">
        <f>IFERROR('Monthly Prices'!J17/'Monthly Prices'!J16-1,"")</f>
        <v/>
      </c>
      <c r="K16" s="129">
        <f>IFERROR('Monthly Prices'!K17/'Monthly Prices'!K16-1,"")</f>
        <v/>
      </c>
      <c r="L16" s="151">
        <f>'Risk-Free Rates'!C16</f>
        <v/>
      </c>
      <c r="M16" s="128">
        <f>MIN(B16-$L16,0)</f>
        <v/>
      </c>
      <c r="N16" s="128">
        <f>MIN(C16-$L16,0)</f>
        <v/>
      </c>
      <c r="O16" s="128">
        <f>MIN(D16-$L16,0)</f>
        <v/>
      </c>
      <c r="P16" s="128">
        <f>MIN(E16-$L16,0)</f>
        <v/>
      </c>
      <c r="Q16" s="128">
        <f>MIN(F16-$L16,0)</f>
        <v/>
      </c>
      <c r="R16" s="128">
        <f>MIN(G16-$L16,0)</f>
        <v/>
      </c>
      <c r="S16" s="128">
        <f>MIN(H16-$L16,0)</f>
        <v/>
      </c>
      <c r="T16" s="128">
        <f>MIN(I16-$L16,0)</f>
        <v/>
      </c>
      <c r="U16" s="128">
        <f>MIN(J16-$L16,0)</f>
        <v/>
      </c>
      <c r="V16" s="128">
        <f>MIN(K16-$L16,0)</f>
        <v/>
      </c>
    </row>
    <row r="17" ht="19" customHeight="1">
      <c r="A17" s="122" t="n">
        <v>45565</v>
      </c>
      <c r="B17" s="127">
        <f>IFERROR('Monthly Prices'!B18/'Monthly Prices'!B17-1,"")</f>
        <v/>
      </c>
      <c r="C17" s="127">
        <f>IFERROR('Monthly Prices'!C18/'Monthly Prices'!C17-1,"")</f>
        <v/>
      </c>
      <c r="D17" s="127">
        <f>IFERROR('Monthly Prices'!D18/'Monthly Prices'!D17-1,"")</f>
        <v/>
      </c>
      <c r="E17" s="127">
        <f>IFERROR('Monthly Prices'!E18/'Monthly Prices'!E17-1,"")</f>
        <v/>
      </c>
      <c r="F17" s="127">
        <f>IFERROR('Monthly Prices'!F18/'Monthly Prices'!F17-1,"")</f>
        <v/>
      </c>
      <c r="G17" s="127">
        <f>IFERROR('Monthly Prices'!G18/'Monthly Prices'!G17-1,"")</f>
        <v/>
      </c>
      <c r="H17" s="127">
        <f>IFERROR('Monthly Prices'!H18/'Monthly Prices'!H17-1,"")</f>
        <v/>
      </c>
      <c r="I17" s="127">
        <f>IFERROR('Monthly Prices'!I18/'Monthly Prices'!I17-1,"")</f>
        <v/>
      </c>
      <c r="J17" s="127">
        <f>IFERROR('Monthly Prices'!J18/'Monthly Prices'!J17-1,"")</f>
        <v/>
      </c>
      <c r="K17" s="127">
        <f>IFERROR('Monthly Prices'!K18/'Monthly Prices'!K17-1,"")</f>
        <v/>
      </c>
      <c r="L17" s="151">
        <f>'Risk-Free Rates'!C17</f>
        <v/>
      </c>
      <c r="M17" s="128">
        <f>MIN(B17-$L17,0)</f>
        <v/>
      </c>
      <c r="N17" s="128">
        <f>MIN(C17-$L17,0)</f>
        <v/>
      </c>
      <c r="O17" s="128">
        <f>MIN(D17-$L17,0)</f>
        <v/>
      </c>
      <c r="P17" s="128">
        <f>MIN(E17-$L17,0)</f>
        <v/>
      </c>
      <c r="Q17" s="128">
        <f>MIN(F17-$L17,0)</f>
        <v/>
      </c>
      <c r="R17" s="128">
        <f>MIN(G17-$L17,0)</f>
        <v/>
      </c>
      <c r="S17" s="128">
        <f>MIN(H17-$L17,0)</f>
        <v/>
      </c>
      <c r="T17" s="128">
        <f>MIN(I17-$L17,0)</f>
        <v/>
      </c>
      <c r="U17" s="128">
        <f>MIN(J17-$L17,0)</f>
        <v/>
      </c>
      <c r="V17" s="128">
        <f>MIN(K17-$L17,0)</f>
        <v/>
      </c>
    </row>
    <row r="18" ht="19" customHeight="1">
      <c r="A18" s="124" t="n">
        <v>45596</v>
      </c>
      <c r="B18" s="129">
        <f>IFERROR('Monthly Prices'!B19/'Monthly Prices'!B18-1,"")</f>
        <v/>
      </c>
      <c r="C18" s="129">
        <f>IFERROR('Monthly Prices'!C19/'Monthly Prices'!C18-1,"")</f>
        <v/>
      </c>
      <c r="D18" s="129">
        <f>IFERROR('Monthly Prices'!D19/'Monthly Prices'!D18-1,"")</f>
        <v/>
      </c>
      <c r="E18" s="129">
        <f>IFERROR('Monthly Prices'!E19/'Monthly Prices'!E18-1,"")</f>
        <v/>
      </c>
      <c r="F18" s="129">
        <f>IFERROR('Monthly Prices'!F19/'Monthly Prices'!F18-1,"")</f>
        <v/>
      </c>
      <c r="G18" s="129">
        <f>IFERROR('Monthly Prices'!G19/'Monthly Prices'!G18-1,"")</f>
        <v/>
      </c>
      <c r="H18" s="129">
        <f>IFERROR('Monthly Prices'!H19/'Monthly Prices'!H18-1,"")</f>
        <v/>
      </c>
      <c r="I18" s="129">
        <f>IFERROR('Monthly Prices'!I19/'Monthly Prices'!I18-1,"")</f>
        <v/>
      </c>
      <c r="J18" s="129">
        <f>IFERROR('Monthly Prices'!J19/'Monthly Prices'!J18-1,"")</f>
        <v/>
      </c>
      <c r="K18" s="129">
        <f>IFERROR('Monthly Prices'!K19/'Monthly Prices'!K18-1,"")</f>
        <v/>
      </c>
      <c r="L18" s="151">
        <f>'Risk-Free Rates'!C18</f>
        <v/>
      </c>
      <c r="M18" s="128">
        <f>MIN(B18-$L18,0)</f>
        <v/>
      </c>
      <c r="N18" s="128">
        <f>MIN(C18-$L18,0)</f>
        <v/>
      </c>
      <c r="O18" s="128">
        <f>MIN(D18-$L18,0)</f>
        <v/>
      </c>
      <c r="P18" s="128">
        <f>MIN(E18-$L18,0)</f>
        <v/>
      </c>
      <c r="Q18" s="128">
        <f>MIN(F18-$L18,0)</f>
        <v/>
      </c>
      <c r="R18" s="128">
        <f>MIN(G18-$L18,0)</f>
        <v/>
      </c>
      <c r="S18" s="128">
        <f>MIN(H18-$L18,0)</f>
        <v/>
      </c>
      <c r="T18" s="128">
        <f>MIN(I18-$L18,0)</f>
        <v/>
      </c>
      <c r="U18" s="128">
        <f>MIN(J18-$L18,0)</f>
        <v/>
      </c>
      <c r="V18" s="128">
        <f>MIN(K18-$L18,0)</f>
        <v/>
      </c>
    </row>
    <row r="19" ht="19" customHeight="1">
      <c r="A19" s="122" t="n">
        <v>45626</v>
      </c>
      <c r="B19" s="127">
        <f>IFERROR('Monthly Prices'!B20/'Monthly Prices'!B19-1,"")</f>
        <v/>
      </c>
      <c r="C19" s="127">
        <f>IFERROR('Monthly Prices'!C20/'Monthly Prices'!C19-1,"")</f>
        <v/>
      </c>
      <c r="D19" s="127">
        <f>IFERROR('Monthly Prices'!D20/'Monthly Prices'!D19-1,"")</f>
        <v/>
      </c>
      <c r="E19" s="127">
        <f>IFERROR('Monthly Prices'!E20/'Monthly Prices'!E19-1,"")</f>
        <v/>
      </c>
      <c r="F19" s="127">
        <f>IFERROR('Monthly Prices'!F20/'Monthly Prices'!F19-1,"")</f>
        <v/>
      </c>
      <c r="G19" s="127">
        <f>IFERROR('Monthly Prices'!G20/'Monthly Prices'!G19-1,"")</f>
        <v/>
      </c>
      <c r="H19" s="127">
        <f>IFERROR('Monthly Prices'!H20/'Monthly Prices'!H19-1,"")</f>
        <v/>
      </c>
      <c r="I19" s="127">
        <f>IFERROR('Monthly Prices'!I20/'Monthly Prices'!I19-1,"")</f>
        <v/>
      </c>
      <c r="J19" s="127">
        <f>IFERROR('Monthly Prices'!J20/'Monthly Prices'!J19-1,"")</f>
        <v/>
      </c>
      <c r="K19" s="127">
        <f>IFERROR('Monthly Prices'!K20/'Monthly Prices'!K19-1,"")</f>
        <v/>
      </c>
      <c r="L19" s="151">
        <f>'Risk-Free Rates'!C19</f>
        <v/>
      </c>
      <c r="M19" s="128">
        <f>MIN(B19-$L19,0)</f>
        <v/>
      </c>
      <c r="N19" s="128">
        <f>MIN(C19-$L19,0)</f>
        <v/>
      </c>
      <c r="O19" s="128">
        <f>MIN(D19-$L19,0)</f>
        <v/>
      </c>
      <c r="P19" s="128">
        <f>MIN(E19-$L19,0)</f>
        <v/>
      </c>
      <c r="Q19" s="128">
        <f>MIN(F19-$L19,0)</f>
        <v/>
      </c>
      <c r="R19" s="128">
        <f>MIN(G19-$L19,0)</f>
        <v/>
      </c>
      <c r="S19" s="128">
        <f>MIN(H19-$L19,0)</f>
        <v/>
      </c>
      <c r="T19" s="128">
        <f>MIN(I19-$L19,0)</f>
        <v/>
      </c>
      <c r="U19" s="128">
        <f>MIN(J19-$L19,0)</f>
        <v/>
      </c>
      <c r="V19" s="128">
        <f>MIN(K19-$L19,0)</f>
        <v/>
      </c>
    </row>
    <row r="20" ht="19" customHeight="1">
      <c r="A20" s="124" t="n">
        <v>45657</v>
      </c>
      <c r="B20" s="129">
        <f>IFERROR('Monthly Prices'!B21/'Monthly Prices'!B20-1,"")</f>
        <v/>
      </c>
      <c r="C20" s="129">
        <f>IFERROR('Monthly Prices'!C21/'Monthly Prices'!C20-1,"")</f>
        <v/>
      </c>
      <c r="D20" s="129">
        <f>IFERROR('Monthly Prices'!D21/'Monthly Prices'!D20-1,"")</f>
        <v/>
      </c>
      <c r="E20" s="129">
        <f>IFERROR('Monthly Prices'!E21/'Monthly Prices'!E20-1,"")</f>
        <v/>
      </c>
      <c r="F20" s="129">
        <f>IFERROR('Monthly Prices'!F21/'Monthly Prices'!F20-1,"")</f>
        <v/>
      </c>
      <c r="G20" s="129">
        <f>IFERROR('Monthly Prices'!G21/'Monthly Prices'!G20-1,"")</f>
        <v/>
      </c>
      <c r="H20" s="129">
        <f>IFERROR('Monthly Prices'!H21/'Monthly Prices'!H20-1,"")</f>
        <v/>
      </c>
      <c r="I20" s="129">
        <f>IFERROR('Monthly Prices'!I21/'Monthly Prices'!I20-1,"")</f>
        <v/>
      </c>
      <c r="J20" s="129">
        <f>IFERROR('Monthly Prices'!J21/'Monthly Prices'!J20-1,"")</f>
        <v/>
      </c>
      <c r="K20" s="129">
        <f>IFERROR('Monthly Prices'!K21/'Monthly Prices'!K20-1,"")</f>
        <v/>
      </c>
      <c r="L20" s="151">
        <f>'Risk-Free Rates'!C20</f>
        <v/>
      </c>
      <c r="M20" s="128">
        <f>MIN(B20-$L20,0)</f>
        <v/>
      </c>
      <c r="N20" s="128">
        <f>MIN(C20-$L20,0)</f>
        <v/>
      </c>
      <c r="O20" s="128">
        <f>MIN(D20-$L20,0)</f>
        <v/>
      </c>
      <c r="P20" s="128">
        <f>MIN(E20-$L20,0)</f>
        <v/>
      </c>
      <c r="Q20" s="128">
        <f>MIN(F20-$L20,0)</f>
        <v/>
      </c>
      <c r="R20" s="128">
        <f>MIN(G20-$L20,0)</f>
        <v/>
      </c>
      <c r="S20" s="128">
        <f>MIN(H20-$L20,0)</f>
        <v/>
      </c>
      <c r="T20" s="128">
        <f>MIN(I20-$L20,0)</f>
        <v/>
      </c>
      <c r="U20" s="128">
        <f>MIN(J20-$L20,0)</f>
        <v/>
      </c>
      <c r="V20" s="128">
        <f>MIN(K20-$L20,0)</f>
        <v/>
      </c>
    </row>
    <row r="21" ht="19" customHeight="1">
      <c r="A21" s="122" t="n">
        <v>45688</v>
      </c>
      <c r="B21" s="127">
        <f>IFERROR('Monthly Prices'!B22/'Monthly Prices'!B21-1,"")</f>
        <v/>
      </c>
      <c r="C21" s="127">
        <f>IFERROR('Monthly Prices'!C22/'Monthly Prices'!C21-1,"")</f>
        <v/>
      </c>
      <c r="D21" s="127">
        <f>IFERROR('Monthly Prices'!D22/'Monthly Prices'!D21-1,"")</f>
        <v/>
      </c>
      <c r="E21" s="127">
        <f>IFERROR('Monthly Prices'!E22/'Monthly Prices'!E21-1,"")</f>
        <v/>
      </c>
      <c r="F21" s="127">
        <f>IFERROR('Monthly Prices'!F22/'Monthly Prices'!F21-1,"")</f>
        <v/>
      </c>
      <c r="G21" s="127">
        <f>IFERROR('Monthly Prices'!G22/'Monthly Prices'!G21-1,"")</f>
        <v/>
      </c>
      <c r="H21" s="127">
        <f>IFERROR('Monthly Prices'!H22/'Monthly Prices'!H21-1,"")</f>
        <v/>
      </c>
      <c r="I21" s="127">
        <f>IFERROR('Monthly Prices'!I22/'Monthly Prices'!I21-1,"")</f>
        <v/>
      </c>
      <c r="J21" s="127">
        <f>IFERROR('Monthly Prices'!J22/'Monthly Prices'!J21-1,"")</f>
        <v/>
      </c>
      <c r="K21" s="127">
        <f>IFERROR('Monthly Prices'!K22/'Monthly Prices'!K21-1,"")</f>
        <v/>
      </c>
      <c r="L21" s="151">
        <f>'Risk-Free Rates'!C21</f>
        <v/>
      </c>
      <c r="M21" s="128">
        <f>MIN(B21-$L21,0)</f>
        <v/>
      </c>
      <c r="N21" s="128">
        <f>MIN(C21-$L21,0)</f>
        <v/>
      </c>
      <c r="O21" s="128">
        <f>MIN(D21-$L21,0)</f>
        <v/>
      </c>
      <c r="P21" s="128">
        <f>MIN(E21-$L21,0)</f>
        <v/>
      </c>
      <c r="Q21" s="128">
        <f>MIN(F21-$L21,0)</f>
        <v/>
      </c>
      <c r="R21" s="128">
        <f>MIN(G21-$L21,0)</f>
        <v/>
      </c>
      <c r="S21" s="128">
        <f>MIN(H21-$L21,0)</f>
        <v/>
      </c>
      <c r="T21" s="128">
        <f>MIN(I21-$L21,0)</f>
        <v/>
      </c>
      <c r="U21" s="128">
        <f>MIN(J21-$L21,0)</f>
        <v/>
      </c>
      <c r="V21" s="128">
        <f>MIN(K21-$L21,0)</f>
        <v/>
      </c>
    </row>
    <row r="22" ht="19" customHeight="1">
      <c r="A22" s="124" t="n">
        <v>45716</v>
      </c>
      <c r="B22" s="129">
        <f>IFERROR('Monthly Prices'!B23/'Monthly Prices'!B22-1,"")</f>
        <v/>
      </c>
      <c r="C22" s="129">
        <f>IFERROR('Monthly Prices'!C23/'Monthly Prices'!C22-1,"")</f>
        <v/>
      </c>
      <c r="D22" s="129">
        <f>IFERROR('Monthly Prices'!D23/'Monthly Prices'!D22-1,"")</f>
        <v/>
      </c>
      <c r="E22" s="129">
        <f>IFERROR('Monthly Prices'!E23/'Monthly Prices'!E22-1,"")</f>
        <v/>
      </c>
      <c r="F22" s="129">
        <f>IFERROR('Monthly Prices'!F23/'Monthly Prices'!F22-1,"")</f>
        <v/>
      </c>
      <c r="G22" s="129">
        <f>IFERROR('Monthly Prices'!G23/'Monthly Prices'!G22-1,"")</f>
        <v/>
      </c>
      <c r="H22" s="129">
        <f>IFERROR('Monthly Prices'!H23/'Monthly Prices'!H22-1,"")</f>
        <v/>
      </c>
      <c r="I22" s="129">
        <f>IFERROR('Monthly Prices'!I23/'Monthly Prices'!I22-1,"")</f>
        <v/>
      </c>
      <c r="J22" s="129">
        <f>IFERROR('Monthly Prices'!J23/'Monthly Prices'!J22-1,"")</f>
        <v/>
      </c>
      <c r="K22" s="129">
        <f>IFERROR('Monthly Prices'!K23/'Monthly Prices'!K22-1,"")</f>
        <v/>
      </c>
      <c r="L22" s="151">
        <f>'Risk-Free Rates'!C22</f>
        <v/>
      </c>
      <c r="M22" s="128">
        <f>MIN(B22-$L22,0)</f>
        <v/>
      </c>
      <c r="N22" s="128">
        <f>MIN(C22-$L22,0)</f>
        <v/>
      </c>
      <c r="O22" s="128">
        <f>MIN(D22-$L22,0)</f>
        <v/>
      </c>
      <c r="P22" s="128">
        <f>MIN(E22-$L22,0)</f>
        <v/>
      </c>
      <c r="Q22" s="128">
        <f>MIN(F22-$L22,0)</f>
        <v/>
      </c>
      <c r="R22" s="128">
        <f>MIN(G22-$L22,0)</f>
        <v/>
      </c>
      <c r="S22" s="128">
        <f>MIN(H22-$L22,0)</f>
        <v/>
      </c>
      <c r="T22" s="128">
        <f>MIN(I22-$L22,0)</f>
        <v/>
      </c>
      <c r="U22" s="128">
        <f>MIN(J22-$L22,0)</f>
        <v/>
      </c>
      <c r="V22" s="128">
        <f>MIN(K22-$L22,0)</f>
        <v/>
      </c>
    </row>
    <row r="23" ht="19" customHeight="1">
      <c r="A23" s="122" t="n">
        <v>45747</v>
      </c>
      <c r="B23" s="127">
        <f>IFERROR('Monthly Prices'!B24/'Monthly Prices'!B23-1,"")</f>
        <v/>
      </c>
      <c r="C23" s="127">
        <f>IFERROR('Monthly Prices'!C24/'Monthly Prices'!C23-1,"")</f>
        <v/>
      </c>
      <c r="D23" s="127">
        <f>IFERROR('Monthly Prices'!D24/'Monthly Prices'!D23-1,"")</f>
        <v/>
      </c>
      <c r="E23" s="127">
        <f>IFERROR('Monthly Prices'!E24/'Monthly Prices'!E23-1,"")</f>
        <v/>
      </c>
      <c r="F23" s="127">
        <f>IFERROR('Monthly Prices'!F24/'Monthly Prices'!F23-1,"")</f>
        <v/>
      </c>
      <c r="G23" s="127">
        <f>IFERROR('Monthly Prices'!G24/'Monthly Prices'!G23-1,"")</f>
        <v/>
      </c>
      <c r="H23" s="127">
        <f>IFERROR('Monthly Prices'!H24/'Monthly Prices'!H23-1,"")</f>
        <v/>
      </c>
      <c r="I23" s="127">
        <f>IFERROR('Monthly Prices'!I24/'Monthly Prices'!I23-1,"")</f>
        <v/>
      </c>
      <c r="J23" s="127">
        <f>IFERROR('Monthly Prices'!J24/'Monthly Prices'!J23-1,"")</f>
        <v/>
      </c>
      <c r="K23" s="127">
        <f>IFERROR('Monthly Prices'!K24/'Monthly Prices'!K23-1,"")</f>
        <v/>
      </c>
      <c r="L23" s="151">
        <f>'Risk-Free Rates'!C23</f>
        <v/>
      </c>
      <c r="M23" s="128">
        <f>MIN(B23-$L23,0)</f>
        <v/>
      </c>
      <c r="N23" s="128">
        <f>MIN(C23-$L23,0)</f>
        <v/>
      </c>
      <c r="O23" s="128">
        <f>MIN(D23-$L23,0)</f>
        <v/>
      </c>
      <c r="P23" s="128">
        <f>MIN(E23-$L23,0)</f>
        <v/>
      </c>
      <c r="Q23" s="128">
        <f>MIN(F23-$L23,0)</f>
        <v/>
      </c>
      <c r="R23" s="128">
        <f>MIN(G23-$L23,0)</f>
        <v/>
      </c>
      <c r="S23" s="128">
        <f>MIN(H23-$L23,0)</f>
        <v/>
      </c>
      <c r="T23" s="128">
        <f>MIN(I23-$L23,0)</f>
        <v/>
      </c>
      <c r="U23" s="128">
        <f>MIN(J23-$L23,0)</f>
        <v/>
      </c>
      <c r="V23" s="128">
        <f>MIN(K23-$L23,0)</f>
        <v/>
      </c>
    </row>
    <row r="24" ht="19" customHeight="1">
      <c r="A24" s="124" t="n">
        <v>45777</v>
      </c>
      <c r="B24" s="129">
        <f>IFERROR('Monthly Prices'!B25/'Monthly Prices'!B24-1,"")</f>
        <v/>
      </c>
      <c r="C24" s="129">
        <f>IFERROR('Monthly Prices'!C25/'Monthly Prices'!C24-1,"")</f>
        <v/>
      </c>
      <c r="D24" s="129">
        <f>IFERROR('Monthly Prices'!D25/'Monthly Prices'!D24-1,"")</f>
        <v/>
      </c>
      <c r="E24" s="129">
        <f>IFERROR('Monthly Prices'!E25/'Monthly Prices'!E24-1,"")</f>
        <v/>
      </c>
      <c r="F24" s="129">
        <f>IFERROR('Monthly Prices'!F25/'Monthly Prices'!F24-1,"")</f>
        <v/>
      </c>
      <c r="G24" s="129">
        <f>IFERROR('Monthly Prices'!G25/'Monthly Prices'!G24-1,"")</f>
        <v/>
      </c>
      <c r="H24" s="129">
        <f>IFERROR('Monthly Prices'!H25/'Monthly Prices'!H24-1,"")</f>
        <v/>
      </c>
      <c r="I24" s="129">
        <f>IFERROR('Monthly Prices'!I25/'Monthly Prices'!I24-1,"")</f>
        <v/>
      </c>
      <c r="J24" s="129">
        <f>IFERROR('Monthly Prices'!J25/'Monthly Prices'!J24-1,"")</f>
        <v/>
      </c>
      <c r="K24" s="129">
        <f>IFERROR('Monthly Prices'!K25/'Monthly Prices'!K24-1,"")</f>
        <v/>
      </c>
      <c r="L24" s="151">
        <f>'Risk-Free Rates'!C24</f>
        <v/>
      </c>
      <c r="M24" s="128">
        <f>MIN(B24-$L24,0)</f>
        <v/>
      </c>
      <c r="N24" s="128">
        <f>MIN(C24-$L24,0)</f>
        <v/>
      </c>
      <c r="O24" s="128">
        <f>MIN(D24-$L24,0)</f>
        <v/>
      </c>
      <c r="P24" s="128">
        <f>MIN(E24-$L24,0)</f>
        <v/>
      </c>
      <c r="Q24" s="128">
        <f>MIN(F24-$L24,0)</f>
        <v/>
      </c>
      <c r="R24" s="128">
        <f>MIN(G24-$L24,0)</f>
        <v/>
      </c>
      <c r="S24" s="128">
        <f>MIN(H24-$L24,0)</f>
        <v/>
      </c>
      <c r="T24" s="128">
        <f>MIN(I24-$L24,0)</f>
        <v/>
      </c>
      <c r="U24" s="128">
        <f>MIN(J24-$L24,0)</f>
        <v/>
      </c>
      <c r="V24" s="128">
        <f>MIN(K24-$L24,0)</f>
        <v/>
      </c>
    </row>
    <row r="25" ht="19" customHeight="1">
      <c r="A25" s="122" t="n">
        <v>45808</v>
      </c>
      <c r="B25" s="127">
        <f>IFERROR('Monthly Prices'!B26/'Monthly Prices'!B25-1,"")</f>
        <v/>
      </c>
      <c r="C25" s="127">
        <f>IFERROR('Monthly Prices'!C26/'Monthly Prices'!C25-1,"")</f>
        <v/>
      </c>
      <c r="D25" s="127">
        <f>IFERROR('Monthly Prices'!D26/'Monthly Prices'!D25-1,"")</f>
        <v/>
      </c>
      <c r="E25" s="127">
        <f>IFERROR('Monthly Prices'!E26/'Monthly Prices'!E25-1,"")</f>
        <v/>
      </c>
      <c r="F25" s="127">
        <f>IFERROR('Monthly Prices'!F26/'Monthly Prices'!F25-1,"")</f>
        <v/>
      </c>
      <c r="G25" s="127">
        <f>IFERROR('Monthly Prices'!G26/'Monthly Prices'!G25-1,"")</f>
        <v/>
      </c>
      <c r="H25" s="127">
        <f>IFERROR('Monthly Prices'!H26/'Monthly Prices'!H25-1,"")</f>
        <v/>
      </c>
      <c r="I25" s="127">
        <f>IFERROR('Monthly Prices'!I26/'Monthly Prices'!I25-1,"")</f>
        <v/>
      </c>
      <c r="J25" s="127">
        <f>IFERROR('Monthly Prices'!J26/'Monthly Prices'!J25-1,"")</f>
        <v/>
      </c>
      <c r="K25" s="127">
        <f>IFERROR('Monthly Prices'!K26/'Monthly Prices'!K25-1,"")</f>
        <v/>
      </c>
      <c r="L25" s="151">
        <f>'Risk-Free Rates'!C25</f>
        <v/>
      </c>
      <c r="M25" s="128">
        <f>MIN(B25-$L25,0)</f>
        <v/>
      </c>
      <c r="N25" s="128">
        <f>MIN(C25-$L25,0)</f>
        <v/>
      </c>
      <c r="O25" s="128">
        <f>MIN(D25-$L25,0)</f>
        <v/>
      </c>
      <c r="P25" s="128">
        <f>MIN(E25-$L25,0)</f>
        <v/>
      </c>
      <c r="Q25" s="128">
        <f>MIN(F25-$L25,0)</f>
        <v/>
      </c>
      <c r="R25" s="128">
        <f>MIN(G25-$L25,0)</f>
        <v/>
      </c>
      <c r="S25" s="128">
        <f>MIN(H25-$L25,0)</f>
        <v/>
      </c>
      <c r="T25" s="128">
        <f>MIN(I25-$L25,0)</f>
        <v/>
      </c>
      <c r="U25" s="128">
        <f>MIN(J25-$L25,0)</f>
        <v/>
      </c>
      <c r="V25" s="128">
        <f>MIN(K25-$L25,0)</f>
        <v/>
      </c>
    </row>
    <row r="26" ht="19" customHeight="1">
      <c r="A26" s="124" t="n">
        <v>45838</v>
      </c>
      <c r="B26" s="129">
        <f>IFERROR('Monthly Prices'!B27/'Monthly Prices'!B26-1,"")</f>
        <v/>
      </c>
      <c r="C26" s="129">
        <f>IFERROR('Monthly Prices'!C27/'Monthly Prices'!C26-1,"")</f>
        <v/>
      </c>
      <c r="D26" s="129">
        <f>IFERROR('Monthly Prices'!D27/'Monthly Prices'!D26-1,"")</f>
        <v/>
      </c>
      <c r="E26" s="129">
        <f>IFERROR('Monthly Prices'!E27/'Monthly Prices'!E26-1,"")</f>
        <v/>
      </c>
      <c r="F26" s="129">
        <f>IFERROR('Monthly Prices'!F27/'Monthly Prices'!F26-1,"")</f>
        <v/>
      </c>
      <c r="G26" s="129">
        <f>IFERROR('Monthly Prices'!G27/'Monthly Prices'!G26-1,"")</f>
        <v/>
      </c>
      <c r="H26" s="129">
        <f>IFERROR('Monthly Prices'!H27/'Monthly Prices'!H26-1,"")</f>
        <v/>
      </c>
      <c r="I26" s="129">
        <f>IFERROR('Monthly Prices'!I27/'Monthly Prices'!I26-1,"")</f>
        <v/>
      </c>
      <c r="J26" s="129">
        <f>IFERROR('Monthly Prices'!J27/'Monthly Prices'!J26-1,"")</f>
        <v/>
      </c>
      <c r="K26" s="129">
        <f>IFERROR('Monthly Prices'!K27/'Monthly Prices'!K26-1,"")</f>
        <v/>
      </c>
      <c r="L26" s="151">
        <f>'Risk-Free Rates'!C26</f>
        <v/>
      </c>
      <c r="M26" s="128">
        <f>MIN(B26-$L26,0)</f>
        <v/>
      </c>
      <c r="N26" s="128">
        <f>MIN(C26-$L26,0)</f>
        <v/>
      </c>
      <c r="O26" s="128">
        <f>MIN(D26-$L26,0)</f>
        <v/>
      </c>
      <c r="P26" s="128">
        <f>MIN(E26-$L26,0)</f>
        <v/>
      </c>
      <c r="Q26" s="128">
        <f>MIN(F26-$L26,0)</f>
        <v/>
      </c>
      <c r="R26" s="128">
        <f>MIN(G26-$L26,0)</f>
        <v/>
      </c>
      <c r="S26" s="128">
        <f>MIN(H26-$L26,0)</f>
        <v/>
      </c>
      <c r="T26" s="128">
        <f>MIN(I26-$L26,0)</f>
        <v/>
      </c>
      <c r="U26" s="128">
        <f>MIN(J26-$L26,0)</f>
        <v/>
      </c>
      <c r="V26" s="128">
        <f>MIN(K26-$L26,0)</f>
        <v/>
      </c>
    </row>
    <row r="27" ht="19" customHeight="1">
      <c r="A27" s="122" t="n">
        <v>45869</v>
      </c>
      <c r="B27" s="127">
        <f>IFERROR('Monthly Prices'!B28/'Monthly Prices'!B27-1,"")</f>
        <v/>
      </c>
      <c r="C27" s="127">
        <f>IFERROR('Monthly Prices'!C28/'Monthly Prices'!C27-1,"")</f>
        <v/>
      </c>
      <c r="D27" s="127">
        <f>IFERROR('Monthly Prices'!D28/'Monthly Prices'!D27-1,"")</f>
        <v/>
      </c>
      <c r="E27" s="127">
        <f>IFERROR('Monthly Prices'!E28/'Monthly Prices'!E27-1,"")</f>
        <v/>
      </c>
      <c r="F27" s="127">
        <f>IFERROR('Monthly Prices'!F28/'Monthly Prices'!F27-1,"")</f>
        <v/>
      </c>
      <c r="G27" s="127">
        <f>IFERROR('Monthly Prices'!G28/'Monthly Prices'!G27-1,"")</f>
        <v/>
      </c>
      <c r="H27" s="127">
        <f>IFERROR('Monthly Prices'!H28/'Monthly Prices'!H27-1,"")</f>
        <v/>
      </c>
      <c r="I27" s="127">
        <f>IFERROR('Monthly Prices'!I28/'Monthly Prices'!I27-1,"")</f>
        <v/>
      </c>
      <c r="J27" s="127">
        <f>IFERROR('Monthly Prices'!J28/'Monthly Prices'!J27-1,"")</f>
        <v/>
      </c>
      <c r="K27" s="127">
        <f>IFERROR('Monthly Prices'!K28/'Monthly Prices'!K27-1,"")</f>
        <v/>
      </c>
      <c r="L27" s="151">
        <f>'Risk-Free Rates'!C27</f>
        <v/>
      </c>
      <c r="M27" s="128">
        <f>MIN(B27-$L27,0)</f>
        <v/>
      </c>
      <c r="N27" s="128">
        <f>MIN(C27-$L27,0)</f>
        <v/>
      </c>
      <c r="O27" s="128">
        <f>MIN(D27-$L27,0)</f>
        <v/>
      </c>
      <c r="P27" s="128">
        <f>MIN(E27-$L27,0)</f>
        <v/>
      </c>
      <c r="Q27" s="128">
        <f>MIN(F27-$L27,0)</f>
        <v/>
      </c>
      <c r="R27" s="128">
        <f>MIN(G27-$L27,0)</f>
        <v/>
      </c>
      <c r="S27" s="128">
        <f>MIN(H27-$L27,0)</f>
        <v/>
      </c>
      <c r="T27" s="128">
        <f>MIN(I27-$L27,0)</f>
        <v/>
      </c>
      <c r="U27" s="128">
        <f>MIN(J27-$L27,0)</f>
        <v/>
      </c>
      <c r="V27" s="128">
        <f>MIN(K27-$L27,0)</f>
        <v/>
      </c>
    </row>
    <row r="28" ht="19" customHeight="1">
      <c r="A28" s="124" t="n">
        <v>45900</v>
      </c>
      <c r="B28" s="129">
        <f>IFERROR('Monthly Prices'!B29/'Monthly Prices'!B28-1,"")</f>
        <v/>
      </c>
      <c r="C28" s="129">
        <f>IFERROR('Monthly Prices'!C29/'Monthly Prices'!C28-1,"")</f>
        <v/>
      </c>
      <c r="D28" s="129">
        <f>IFERROR('Monthly Prices'!D29/'Monthly Prices'!D28-1,"")</f>
        <v/>
      </c>
      <c r="E28" s="129">
        <f>IFERROR('Monthly Prices'!E29/'Monthly Prices'!E28-1,"")</f>
        <v/>
      </c>
      <c r="F28" s="129">
        <f>IFERROR('Monthly Prices'!F29/'Monthly Prices'!F28-1,"")</f>
        <v/>
      </c>
      <c r="G28" s="129">
        <f>IFERROR('Monthly Prices'!G29/'Monthly Prices'!G28-1,"")</f>
        <v/>
      </c>
      <c r="H28" s="129">
        <f>IFERROR('Monthly Prices'!H29/'Monthly Prices'!H28-1,"")</f>
        <v/>
      </c>
      <c r="I28" s="129">
        <f>IFERROR('Monthly Prices'!I29/'Monthly Prices'!I28-1,"")</f>
        <v/>
      </c>
      <c r="J28" s="129">
        <f>IFERROR('Monthly Prices'!J29/'Monthly Prices'!J28-1,"")</f>
        <v/>
      </c>
      <c r="K28" s="129">
        <f>IFERROR('Monthly Prices'!K29/'Monthly Prices'!K28-1,"")</f>
        <v/>
      </c>
      <c r="L28" s="151">
        <f>'Risk-Free Rates'!C28</f>
        <v/>
      </c>
      <c r="M28" s="128">
        <f>MIN(B28-$L28,0)</f>
        <v/>
      </c>
      <c r="N28" s="128">
        <f>MIN(C28-$L28,0)</f>
        <v/>
      </c>
      <c r="O28" s="128">
        <f>MIN(D28-$L28,0)</f>
        <v/>
      </c>
      <c r="P28" s="128">
        <f>MIN(E28-$L28,0)</f>
        <v/>
      </c>
      <c r="Q28" s="128">
        <f>MIN(F28-$L28,0)</f>
        <v/>
      </c>
      <c r="R28" s="128">
        <f>MIN(G28-$L28,0)</f>
        <v/>
      </c>
      <c r="S28" s="128">
        <f>MIN(H28-$L28,0)</f>
        <v/>
      </c>
      <c r="T28" s="128">
        <f>MIN(I28-$L28,0)</f>
        <v/>
      </c>
      <c r="U28" s="128">
        <f>MIN(J28-$L28,0)</f>
        <v/>
      </c>
      <c r="V28" s="128">
        <f>MIN(K28-$L28,0)</f>
        <v/>
      </c>
    </row>
    <row r="29" ht="19" customHeight="1">
      <c r="A29" s="122" t="n">
        <v>45930</v>
      </c>
      <c r="B29" s="127">
        <f>IFERROR('Monthly Prices'!B30/'Monthly Prices'!B29-1,"")</f>
        <v/>
      </c>
      <c r="C29" s="127">
        <f>IFERROR('Monthly Prices'!C30/'Monthly Prices'!C29-1,"")</f>
        <v/>
      </c>
      <c r="D29" s="127">
        <f>IFERROR('Monthly Prices'!D30/'Monthly Prices'!D29-1,"")</f>
        <v/>
      </c>
      <c r="E29" s="127">
        <f>IFERROR('Monthly Prices'!E30/'Monthly Prices'!E29-1,"")</f>
        <v/>
      </c>
      <c r="F29" s="127">
        <f>IFERROR('Monthly Prices'!F30/'Monthly Prices'!F29-1,"")</f>
        <v/>
      </c>
      <c r="G29" s="127">
        <f>IFERROR('Monthly Prices'!G30/'Monthly Prices'!G29-1,"")</f>
        <v/>
      </c>
      <c r="H29" s="127">
        <f>IFERROR('Monthly Prices'!H30/'Monthly Prices'!H29-1,"")</f>
        <v/>
      </c>
      <c r="I29" s="127">
        <f>IFERROR('Monthly Prices'!I30/'Monthly Prices'!I29-1,"")</f>
        <v/>
      </c>
      <c r="J29" s="127">
        <f>IFERROR('Monthly Prices'!J30/'Monthly Prices'!J29-1,"")</f>
        <v/>
      </c>
      <c r="K29" s="127">
        <f>IFERROR('Monthly Prices'!K30/'Monthly Prices'!K29-1,"")</f>
        <v/>
      </c>
      <c r="L29" s="151">
        <f>'Risk-Free Rates'!C29</f>
        <v/>
      </c>
      <c r="M29" s="128">
        <f>MIN(B29-$L29,0)</f>
        <v/>
      </c>
      <c r="N29" s="128">
        <f>MIN(C29-$L29,0)</f>
        <v/>
      </c>
      <c r="O29" s="128">
        <f>MIN(D29-$L29,0)</f>
        <v/>
      </c>
      <c r="P29" s="128">
        <f>MIN(E29-$L29,0)</f>
        <v/>
      </c>
      <c r="Q29" s="128">
        <f>MIN(F29-$L29,0)</f>
        <v/>
      </c>
      <c r="R29" s="128">
        <f>MIN(G29-$L29,0)</f>
        <v/>
      </c>
      <c r="S29" s="128">
        <f>MIN(H29-$L29,0)</f>
        <v/>
      </c>
      <c r="T29" s="128">
        <f>MIN(I29-$L29,0)</f>
        <v/>
      </c>
      <c r="U29" s="128">
        <f>MIN(J29-$L29,0)</f>
        <v/>
      </c>
      <c r="V29" s="128">
        <f>MIN(K29-$L29,0)</f>
        <v/>
      </c>
    </row>
    <row r="30" ht="19" customHeight="1">
      <c r="A30" s="124" t="n">
        <v>45961</v>
      </c>
      <c r="B30" s="129">
        <f>IFERROR('Monthly Prices'!B31/'Monthly Prices'!B30-1,"")</f>
        <v/>
      </c>
      <c r="C30" s="129">
        <f>IFERROR('Monthly Prices'!C31/'Monthly Prices'!C30-1,"")</f>
        <v/>
      </c>
      <c r="D30" s="129">
        <f>IFERROR('Monthly Prices'!D31/'Monthly Prices'!D30-1,"")</f>
        <v/>
      </c>
      <c r="E30" s="129">
        <f>IFERROR('Monthly Prices'!E31/'Monthly Prices'!E30-1,"")</f>
        <v/>
      </c>
      <c r="F30" s="129">
        <f>IFERROR('Monthly Prices'!F31/'Monthly Prices'!F30-1,"")</f>
        <v/>
      </c>
      <c r="G30" s="129">
        <f>IFERROR('Monthly Prices'!G31/'Monthly Prices'!G30-1,"")</f>
        <v/>
      </c>
      <c r="H30" s="129">
        <f>IFERROR('Monthly Prices'!H31/'Monthly Prices'!H30-1,"")</f>
        <v/>
      </c>
      <c r="I30" s="129">
        <f>IFERROR('Monthly Prices'!I31/'Monthly Prices'!I30-1,"")</f>
        <v/>
      </c>
      <c r="J30" s="129">
        <f>IFERROR('Monthly Prices'!J31/'Monthly Prices'!J30-1,"")</f>
        <v/>
      </c>
      <c r="K30" s="129">
        <f>IFERROR('Monthly Prices'!K31/'Monthly Prices'!K30-1,"")</f>
        <v/>
      </c>
      <c r="L30" s="151">
        <f>'Risk-Free Rates'!C30</f>
        <v/>
      </c>
      <c r="M30" s="128">
        <f>MIN(B30-$L30,0)</f>
        <v/>
      </c>
      <c r="N30" s="128">
        <f>MIN(C30-$L30,0)</f>
        <v/>
      </c>
      <c r="O30" s="128">
        <f>MIN(D30-$L30,0)</f>
        <v/>
      </c>
      <c r="P30" s="128">
        <f>MIN(E30-$L30,0)</f>
        <v/>
      </c>
      <c r="Q30" s="128">
        <f>MIN(F30-$L30,0)</f>
        <v/>
      </c>
      <c r="R30" s="128">
        <f>MIN(G30-$L30,0)</f>
        <v/>
      </c>
      <c r="S30" s="128">
        <f>MIN(H30-$L30,0)</f>
        <v/>
      </c>
      <c r="T30" s="128">
        <f>MIN(I30-$L30,0)</f>
        <v/>
      </c>
      <c r="U30" s="128">
        <f>MIN(J30-$L30,0)</f>
        <v/>
      </c>
      <c r="V30" s="128">
        <f>MIN(K30-$L30,0)</f>
        <v/>
      </c>
    </row>
    <row r="31" ht="19" customHeight="1">
      <c r="A31" s="122" t="n">
        <v>45991</v>
      </c>
      <c r="B31" s="127">
        <f>IFERROR('Monthly Prices'!B32/'Monthly Prices'!B31-1,"")</f>
        <v/>
      </c>
      <c r="C31" s="127">
        <f>IFERROR('Monthly Prices'!C32/'Monthly Prices'!C31-1,"")</f>
        <v/>
      </c>
      <c r="D31" s="127">
        <f>IFERROR('Monthly Prices'!D32/'Monthly Prices'!D31-1,"")</f>
        <v/>
      </c>
      <c r="E31" s="127">
        <f>IFERROR('Monthly Prices'!E32/'Monthly Prices'!E31-1,"")</f>
        <v/>
      </c>
      <c r="F31" s="127">
        <f>IFERROR('Monthly Prices'!F32/'Monthly Prices'!F31-1,"")</f>
        <v/>
      </c>
      <c r="G31" s="127">
        <f>IFERROR('Monthly Prices'!G32/'Monthly Prices'!G31-1,"")</f>
        <v/>
      </c>
      <c r="H31" s="127">
        <f>IFERROR('Monthly Prices'!H32/'Monthly Prices'!H31-1,"")</f>
        <v/>
      </c>
      <c r="I31" s="127">
        <f>IFERROR('Monthly Prices'!I32/'Monthly Prices'!I31-1,"")</f>
        <v/>
      </c>
      <c r="J31" s="127">
        <f>IFERROR('Monthly Prices'!J32/'Monthly Prices'!J31-1,"")</f>
        <v/>
      </c>
      <c r="K31" s="127">
        <f>IFERROR('Monthly Prices'!K32/'Monthly Prices'!K31-1,"")</f>
        <v/>
      </c>
      <c r="L31" s="151">
        <f>'Risk-Free Rates'!C31</f>
        <v/>
      </c>
      <c r="M31" s="128">
        <f>MIN(B31-$L31,0)</f>
        <v/>
      </c>
      <c r="N31" s="128">
        <f>MIN(C31-$L31,0)</f>
        <v/>
      </c>
      <c r="O31" s="128">
        <f>MIN(D31-$L31,0)</f>
        <v/>
      </c>
      <c r="P31" s="128">
        <f>MIN(E31-$L31,0)</f>
        <v/>
      </c>
      <c r="Q31" s="128">
        <f>MIN(F31-$L31,0)</f>
        <v/>
      </c>
      <c r="R31" s="128">
        <f>MIN(G31-$L31,0)</f>
        <v/>
      </c>
      <c r="S31" s="128">
        <f>MIN(H31-$L31,0)</f>
        <v/>
      </c>
      <c r="T31" s="128">
        <f>MIN(I31-$L31,0)</f>
        <v/>
      </c>
      <c r="U31" s="128">
        <f>MIN(J31-$L31,0)</f>
        <v/>
      </c>
      <c r="V31" s="128">
        <f>MIN(K31-$L31,0)</f>
        <v/>
      </c>
    </row>
    <row r="32" ht="19" customHeight="1">
      <c r="A32" s="124" t="n">
        <v>46022</v>
      </c>
      <c r="B32" s="129">
        <f>IFERROR('Monthly Prices'!B33/'Monthly Prices'!B32-1,"")</f>
        <v/>
      </c>
      <c r="C32" s="129">
        <f>IFERROR('Monthly Prices'!C33/'Monthly Prices'!C32-1,"")</f>
        <v/>
      </c>
      <c r="D32" s="129">
        <f>IFERROR('Monthly Prices'!D33/'Monthly Prices'!D32-1,"")</f>
        <v/>
      </c>
      <c r="E32" s="129">
        <f>IFERROR('Monthly Prices'!E33/'Monthly Prices'!E32-1,"")</f>
        <v/>
      </c>
      <c r="F32" s="129">
        <f>IFERROR('Monthly Prices'!F33/'Monthly Prices'!F32-1,"")</f>
        <v/>
      </c>
      <c r="G32" s="129">
        <f>IFERROR('Monthly Prices'!G33/'Monthly Prices'!G32-1,"")</f>
        <v/>
      </c>
      <c r="H32" s="129">
        <f>IFERROR('Monthly Prices'!H33/'Monthly Prices'!H32-1,"")</f>
        <v/>
      </c>
      <c r="I32" s="129">
        <f>IFERROR('Monthly Prices'!I33/'Monthly Prices'!I32-1,"")</f>
        <v/>
      </c>
      <c r="J32" s="129">
        <f>IFERROR('Monthly Prices'!J33/'Monthly Prices'!J32-1,"")</f>
        <v/>
      </c>
      <c r="K32" s="129">
        <f>IFERROR('Monthly Prices'!K33/'Monthly Prices'!K32-1,"")</f>
        <v/>
      </c>
      <c r="L32" s="151">
        <f>'Risk-Free Rates'!C32</f>
        <v/>
      </c>
      <c r="M32" s="128">
        <f>MIN(B32-$L32,0)</f>
        <v/>
      </c>
      <c r="N32" s="128">
        <f>MIN(C32-$L32,0)</f>
        <v/>
      </c>
      <c r="O32" s="128">
        <f>MIN(D32-$L32,0)</f>
        <v/>
      </c>
      <c r="P32" s="128">
        <f>MIN(E32-$L32,0)</f>
        <v/>
      </c>
      <c r="Q32" s="128">
        <f>MIN(F32-$L32,0)</f>
        <v/>
      </c>
      <c r="R32" s="128">
        <f>MIN(G32-$L32,0)</f>
        <v/>
      </c>
      <c r="S32" s="128">
        <f>MIN(H32-$L32,0)</f>
        <v/>
      </c>
      <c r="T32" s="128">
        <f>MIN(I32-$L32,0)</f>
        <v/>
      </c>
      <c r="U32" s="128">
        <f>MIN(J32-$L32,0)</f>
        <v/>
      </c>
      <c r="V32" s="128">
        <f>MIN(K32-$L32,0)</f>
        <v/>
      </c>
    </row>
    <row r="33" ht="19" customHeight="1">
      <c r="A33" s="122" t="n">
        <v>46053</v>
      </c>
      <c r="B33" s="127">
        <f>IFERROR('Monthly Prices'!B34/'Monthly Prices'!B33-1,"")</f>
        <v/>
      </c>
      <c r="C33" s="127">
        <f>IFERROR('Monthly Prices'!C34/'Monthly Prices'!C33-1,"")</f>
        <v/>
      </c>
      <c r="D33" s="127">
        <f>IFERROR('Monthly Prices'!D34/'Monthly Prices'!D33-1,"")</f>
        <v/>
      </c>
      <c r="E33" s="127">
        <f>IFERROR('Monthly Prices'!E34/'Monthly Prices'!E33-1,"")</f>
        <v/>
      </c>
      <c r="F33" s="127">
        <f>IFERROR('Monthly Prices'!F34/'Monthly Prices'!F33-1,"")</f>
        <v/>
      </c>
      <c r="G33" s="127">
        <f>IFERROR('Monthly Prices'!G34/'Monthly Prices'!G33-1,"")</f>
        <v/>
      </c>
      <c r="H33" s="127">
        <f>IFERROR('Monthly Prices'!H34/'Monthly Prices'!H33-1,"")</f>
        <v/>
      </c>
      <c r="I33" s="127">
        <f>IFERROR('Monthly Prices'!I34/'Monthly Prices'!I33-1,"")</f>
        <v/>
      </c>
      <c r="J33" s="127">
        <f>IFERROR('Monthly Prices'!J34/'Monthly Prices'!J33-1,"")</f>
        <v/>
      </c>
      <c r="K33" s="127">
        <f>IFERROR('Monthly Prices'!K34/'Monthly Prices'!K33-1,"")</f>
        <v/>
      </c>
      <c r="L33" s="151">
        <f>'Risk-Free Rates'!C33</f>
        <v/>
      </c>
      <c r="M33" s="128">
        <f>MIN(B33-$L33,0)</f>
        <v/>
      </c>
      <c r="N33" s="128">
        <f>MIN(C33-$L33,0)</f>
        <v/>
      </c>
      <c r="O33" s="128">
        <f>MIN(D33-$L33,0)</f>
        <v/>
      </c>
      <c r="P33" s="128">
        <f>MIN(E33-$L33,0)</f>
        <v/>
      </c>
      <c r="Q33" s="128">
        <f>MIN(F33-$L33,0)</f>
        <v/>
      </c>
      <c r="R33" s="128">
        <f>MIN(G33-$L33,0)</f>
        <v/>
      </c>
      <c r="S33" s="128">
        <f>MIN(H33-$L33,0)</f>
        <v/>
      </c>
      <c r="T33" s="128">
        <f>MIN(I33-$L33,0)</f>
        <v/>
      </c>
      <c r="U33" s="128">
        <f>MIN(J33-$L33,0)</f>
        <v/>
      </c>
      <c r="V33" s="128">
        <f>MIN(K33-$L33,0)</f>
        <v/>
      </c>
    </row>
    <row r="34" ht="19" customHeight="1">
      <c r="A34" s="124" t="n">
        <v>46081</v>
      </c>
      <c r="B34" s="129">
        <f>IFERROR('Monthly Prices'!B35/'Monthly Prices'!B34-1,"")</f>
        <v/>
      </c>
      <c r="C34" s="129">
        <f>IFERROR('Monthly Prices'!C35/'Monthly Prices'!C34-1,"")</f>
        <v/>
      </c>
      <c r="D34" s="129">
        <f>IFERROR('Monthly Prices'!D35/'Monthly Prices'!D34-1,"")</f>
        <v/>
      </c>
      <c r="E34" s="129">
        <f>IFERROR('Monthly Prices'!E35/'Monthly Prices'!E34-1,"")</f>
        <v/>
      </c>
      <c r="F34" s="129">
        <f>IFERROR('Monthly Prices'!F35/'Monthly Prices'!F34-1,"")</f>
        <v/>
      </c>
      <c r="G34" s="129">
        <f>IFERROR('Monthly Prices'!G35/'Monthly Prices'!G34-1,"")</f>
        <v/>
      </c>
      <c r="H34" s="129">
        <f>IFERROR('Monthly Prices'!H35/'Monthly Prices'!H34-1,"")</f>
        <v/>
      </c>
      <c r="I34" s="129">
        <f>IFERROR('Monthly Prices'!I35/'Monthly Prices'!I34-1,"")</f>
        <v/>
      </c>
      <c r="J34" s="129">
        <f>IFERROR('Monthly Prices'!J35/'Monthly Prices'!J34-1,"")</f>
        <v/>
      </c>
      <c r="K34" s="129">
        <f>IFERROR('Monthly Prices'!K35/'Monthly Prices'!K34-1,"")</f>
        <v/>
      </c>
      <c r="L34" s="151">
        <f>'Risk-Free Rates'!C34</f>
        <v/>
      </c>
      <c r="M34" s="128">
        <f>MIN(B34-$L34,0)</f>
        <v/>
      </c>
      <c r="N34" s="128">
        <f>MIN(C34-$L34,0)</f>
        <v/>
      </c>
      <c r="O34" s="128">
        <f>MIN(D34-$L34,0)</f>
        <v/>
      </c>
      <c r="P34" s="128">
        <f>MIN(E34-$L34,0)</f>
        <v/>
      </c>
      <c r="Q34" s="128">
        <f>MIN(F34-$L34,0)</f>
        <v/>
      </c>
      <c r="R34" s="128">
        <f>MIN(G34-$L34,0)</f>
        <v/>
      </c>
      <c r="S34" s="128">
        <f>MIN(H34-$L34,0)</f>
        <v/>
      </c>
      <c r="T34" s="128">
        <f>MIN(I34-$L34,0)</f>
        <v/>
      </c>
      <c r="U34" s="128">
        <f>MIN(J34-$L34,0)</f>
        <v/>
      </c>
      <c r="V34" s="128">
        <f>MIN(K34-$L34,0)</f>
        <v/>
      </c>
    </row>
    <row r="35" ht="19" customHeight="1">
      <c r="A35" s="122" t="n">
        <v>46112</v>
      </c>
      <c r="B35" s="127">
        <f>IFERROR('Monthly Prices'!B36/'Monthly Prices'!B35-1,"")</f>
        <v/>
      </c>
      <c r="C35" s="127">
        <f>IFERROR('Monthly Prices'!C36/'Monthly Prices'!C35-1,"")</f>
        <v/>
      </c>
      <c r="D35" s="127">
        <f>IFERROR('Monthly Prices'!D36/'Monthly Prices'!D35-1,"")</f>
        <v/>
      </c>
      <c r="E35" s="127">
        <f>IFERROR('Monthly Prices'!E36/'Monthly Prices'!E35-1,"")</f>
        <v/>
      </c>
      <c r="F35" s="127">
        <f>IFERROR('Monthly Prices'!F36/'Monthly Prices'!F35-1,"")</f>
        <v/>
      </c>
      <c r="G35" s="127">
        <f>IFERROR('Monthly Prices'!G36/'Monthly Prices'!G35-1,"")</f>
        <v/>
      </c>
      <c r="H35" s="127">
        <f>IFERROR('Monthly Prices'!H36/'Monthly Prices'!H35-1,"")</f>
        <v/>
      </c>
      <c r="I35" s="127">
        <f>IFERROR('Monthly Prices'!I36/'Monthly Prices'!I35-1,"")</f>
        <v/>
      </c>
      <c r="J35" s="127">
        <f>IFERROR('Monthly Prices'!J36/'Monthly Prices'!J35-1,"")</f>
        <v/>
      </c>
      <c r="K35" s="127">
        <f>IFERROR('Monthly Prices'!K36/'Monthly Prices'!K35-1,"")</f>
        <v/>
      </c>
      <c r="L35" s="151">
        <f>'Risk-Free Rates'!C35</f>
        <v/>
      </c>
      <c r="M35" s="128">
        <f>MIN(B35-$L35,0)</f>
        <v/>
      </c>
      <c r="N35" s="128">
        <f>MIN(C35-$L35,0)</f>
        <v/>
      </c>
      <c r="O35" s="128">
        <f>MIN(D35-$L35,0)</f>
        <v/>
      </c>
      <c r="P35" s="128">
        <f>MIN(E35-$L35,0)</f>
        <v/>
      </c>
      <c r="Q35" s="128">
        <f>MIN(F35-$L35,0)</f>
        <v/>
      </c>
      <c r="R35" s="128">
        <f>MIN(G35-$L35,0)</f>
        <v/>
      </c>
      <c r="S35" s="128">
        <f>MIN(H35-$L35,0)</f>
        <v/>
      </c>
      <c r="T35" s="128">
        <f>MIN(I35-$L35,0)</f>
        <v/>
      </c>
      <c r="U35" s="128">
        <f>MIN(J35-$L35,0)</f>
        <v/>
      </c>
      <c r="V35" s="128">
        <f>MIN(K35-$L35,0)</f>
        <v/>
      </c>
    </row>
    <row r="36" ht="19" customHeight="1">
      <c r="A36" s="124" t="n">
        <v>46142</v>
      </c>
      <c r="B36" s="129">
        <f>IFERROR('Monthly Prices'!B37/'Monthly Prices'!B36-1,"")</f>
        <v/>
      </c>
      <c r="C36" s="129">
        <f>IFERROR('Monthly Prices'!C37/'Monthly Prices'!C36-1,"")</f>
        <v/>
      </c>
      <c r="D36" s="129">
        <f>IFERROR('Monthly Prices'!D37/'Monthly Prices'!D36-1,"")</f>
        <v/>
      </c>
      <c r="E36" s="129">
        <f>IFERROR('Monthly Prices'!E37/'Monthly Prices'!E36-1,"")</f>
        <v/>
      </c>
      <c r="F36" s="129">
        <f>IFERROR('Monthly Prices'!F37/'Monthly Prices'!F36-1,"")</f>
        <v/>
      </c>
      <c r="G36" s="129">
        <f>IFERROR('Monthly Prices'!G37/'Monthly Prices'!G36-1,"")</f>
        <v/>
      </c>
      <c r="H36" s="129">
        <f>IFERROR('Monthly Prices'!H37/'Monthly Prices'!H36-1,"")</f>
        <v/>
      </c>
      <c r="I36" s="129">
        <f>IFERROR('Monthly Prices'!I37/'Monthly Prices'!I36-1,"")</f>
        <v/>
      </c>
      <c r="J36" s="129">
        <f>IFERROR('Monthly Prices'!J37/'Monthly Prices'!J36-1,"")</f>
        <v/>
      </c>
      <c r="K36" s="129">
        <f>IFERROR('Monthly Prices'!K37/'Monthly Prices'!K36-1,"")</f>
        <v/>
      </c>
      <c r="L36" s="151">
        <f>'Risk-Free Rates'!C36</f>
        <v/>
      </c>
      <c r="M36" s="128">
        <f>MIN(B36-$L36,0)</f>
        <v/>
      </c>
      <c r="N36" s="128">
        <f>MIN(C36-$L36,0)</f>
        <v/>
      </c>
      <c r="O36" s="128">
        <f>MIN(D36-$L36,0)</f>
        <v/>
      </c>
      <c r="P36" s="128">
        <f>MIN(E36-$L36,0)</f>
        <v/>
      </c>
      <c r="Q36" s="128">
        <f>MIN(F36-$L36,0)</f>
        <v/>
      </c>
      <c r="R36" s="128">
        <f>MIN(G36-$L36,0)</f>
        <v/>
      </c>
      <c r="S36" s="128">
        <f>MIN(H36-$L36,0)</f>
        <v/>
      </c>
      <c r="T36" s="128">
        <f>MIN(I36-$L36,0)</f>
        <v/>
      </c>
      <c r="U36" s="128">
        <f>MIN(J36-$L36,0)</f>
        <v/>
      </c>
      <c r="V36" s="128">
        <f>MIN(K36-$L36,0)</f>
        <v/>
      </c>
    </row>
    <row r="37" ht="19" customHeight="1">
      <c r="A37" s="122" t="n">
        <v>46173</v>
      </c>
      <c r="B37" s="127">
        <f>IFERROR('Monthly Prices'!B38/'Monthly Prices'!B37-1,"")</f>
        <v/>
      </c>
      <c r="C37" s="127">
        <f>IFERROR('Monthly Prices'!C38/'Monthly Prices'!C37-1,"")</f>
        <v/>
      </c>
      <c r="D37" s="127">
        <f>IFERROR('Monthly Prices'!D38/'Monthly Prices'!D37-1,"")</f>
        <v/>
      </c>
      <c r="E37" s="127">
        <f>IFERROR('Monthly Prices'!E38/'Monthly Prices'!E37-1,"")</f>
        <v/>
      </c>
      <c r="F37" s="127">
        <f>IFERROR('Monthly Prices'!F38/'Monthly Prices'!F37-1,"")</f>
        <v/>
      </c>
      <c r="G37" s="127">
        <f>IFERROR('Monthly Prices'!G38/'Monthly Prices'!G37-1,"")</f>
        <v/>
      </c>
      <c r="H37" s="127">
        <f>IFERROR('Monthly Prices'!H38/'Monthly Prices'!H37-1,"")</f>
        <v/>
      </c>
      <c r="I37" s="127">
        <f>IFERROR('Monthly Prices'!I38/'Monthly Prices'!I37-1,"")</f>
        <v/>
      </c>
      <c r="J37" s="127">
        <f>IFERROR('Monthly Prices'!J38/'Monthly Prices'!J37-1,"")</f>
        <v/>
      </c>
      <c r="K37" s="127">
        <f>IFERROR('Monthly Prices'!K38/'Monthly Prices'!K37-1,"")</f>
        <v/>
      </c>
      <c r="L37" s="151">
        <f>'Risk-Free Rates'!C37</f>
        <v/>
      </c>
      <c r="M37" s="128">
        <f>MIN(B37-$L37,0)</f>
        <v/>
      </c>
      <c r="N37" s="128">
        <f>MIN(C37-$L37,0)</f>
        <v/>
      </c>
      <c r="O37" s="128">
        <f>MIN(D37-$L37,0)</f>
        <v/>
      </c>
      <c r="P37" s="128">
        <f>MIN(E37-$L37,0)</f>
        <v/>
      </c>
      <c r="Q37" s="128">
        <f>MIN(F37-$L37,0)</f>
        <v/>
      </c>
      <c r="R37" s="128">
        <f>MIN(G37-$L37,0)</f>
        <v/>
      </c>
      <c r="S37" s="128">
        <f>MIN(H37-$L37,0)</f>
        <v/>
      </c>
      <c r="T37" s="128">
        <f>MIN(I37-$L37,0)</f>
        <v/>
      </c>
      <c r="U37" s="128">
        <f>MIN(J37-$L37,0)</f>
        <v/>
      </c>
      <c r="V37" s="128">
        <f>MIN(K37-$L37,0)</f>
        <v/>
      </c>
    </row>
    <row r="38" ht="19" customHeight="1">
      <c r="A38" s="124" t="n">
        <v>46203</v>
      </c>
      <c r="B38" s="129">
        <f>IFERROR('Monthly Prices'!B39/'Monthly Prices'!B38-1,"")</f>
        <v/>
      </c>
      <c r="C38" s="129">
        <f>IFERROR('Monthly Prices'!C39/'Monthly Prices'!C38-1,"")</f>
        <v/>
      </c>
      <c r="D38" s="129">
        <f>IFERROR('Monthly Prices'!D39/'Monthly Prices'!D38-1,"")</f>
        <v/>
      </c>
      <c r="E38" s="129">
        <f>IFERROR('Monthly Prices'!E39/'Monthly Prices'!E38-1,"")</f>
        <v/>
      </c>
      <c r="F38" s="129">
        <f>IFERROR('Monthly Prices'!F39/'Monthly Prices'!F38-1,"")</f>
        <v/>
      </c>
      <c r="G38" s="129">
        <f>IFERROR('Monthly Prices'!G39/'Monthly Prices'!G38-1,"")</f>
        <v/>
      </c>
      <c r="H38" s="129">
        <f>IFERROR('Monthly Prices'!H39/'Monthly Prices'!H38-1,"")</f>
        <v/>
      </c>
      <c r="I38" s="129">
        <f>IFERROR('Monthly Prices'!I39/'Monthly Prices'!I38-1,"")</f>
        <v/>
      </c>
      <c r="J38" s="129">
        <f>IFERROR('Monthly Prices'!J39/'Monthly Prices'!J38-1,"")</f>
        <v/>
      </c>
      <c r="K38" s="129">
        <f>IFERROR('Monthly Prices'!K39/'Monthly Prices'!K38-1,"")</f>
        <v/>
      </c>
      <c r="L38" s="151">
        <f>'Risk-Free Rates'!C38</f>
        <v/>
      </c>
      <c r="M38" s="128">
        <f>MIN(B38-$L38,0)</f>
        <v/>
      </c>
      <c r="N38" s="128">
        <f>MIN(C38-$L38,0)</f>
        <v/>
      </c>
      <c r="O38" s="128">
        <f>MIN(D38-$L38,0)</f>
        <v/>
      </c>
      <c r="P38" s="128">
        <f>MIN(E38-$L38,0)</f>
        <v/>
      </c>
      <c r="Q38" s="128">
        <f>MIN(F38-$L38,0)</f>
        <v/>
      </c>
      <c r="R38" s="128">
        <f>MIN(G38-$L38,0)</f>
        <v/>
      </c>
      <c r="S38" s="128">
        <f>MIN(H38-$L38,0)</f>
        <v/>
      </c>
      <c r="T38" s="128">
        <f>MIN(I38-$L38,0)</f>
        <v/>
      </c>
      <c r="U38" s="128">
        <f>MIN(J38-$L38,0)</f>
        <v/>
      </c>
      <c r="V38" s="128">
        <f>MIN(K38-$L38,0)</f>
        <v/>
      </c>
    </row>
    <row r="39" ht="19" customHeight="1">
      <c r="A39" s="122" t="n">
        <v>46234</v>
      </c>
      <c r="B39" s="127">
        <f>IFERROR('Monthly Prices'!B40/'Monthly Prices'!B39-1,"")</f>
        <v/>
      </c>
      <c r="C39" s="127">
        <f>IFERROR('Monthly Prices'!C40/'Monthly Prices'!C39-1,"")</f>
        <v/>
      </c>
      <c r="D39" s="127">
        <f>IFERROR('Monthly Prices'!D40/'Monthly Prices'!D39-1,"")</f>
        <v/>
      </c>
      <c r="E39" s="127">
        <f>IFERROR('Monthly Prices'!E40/'Monthly Prices'!E39-1,"")</f>
        <v/>
      </c>
      <c r="F39" s="127">
        <f>IFERROR('Monthly Prices'!F40/'Monthly Prices'!F39-1,"")</f>
        <v/>
      </c>
      <c r="G39" s="127">
        <f>IFERROR('Monthly Prices'!G40/'Monthly Prices'!G39-1,"")</f>
        <v/>
      </c>
      <c r="H39" s="127">
        <f>IFERROR('Monthly Prices'!H40/'Monthly Prices'!H39-1,"")</f>
        <v/>
      </c>
      <c r="I39" s="127">
        <f>IFERROR('Monthly Prices'!I40/'Monthly Prices'!I39-1,"")</f>
        <v/>
      </c>
      <c r="J39" s="127">
        <f>IFERROR('Monthly Prices'!J40/'Monthly Prices'!J39-1,"")</f>
        <v/>
      </c>
      <c r="K39" s="127">
        <f>IFERROR('Monthly Prices'!K40/'Monthly Prices'!K39-1,"")</f>
        <v/>
      </c>
      <c r="L39" s="151">
        <f>'Risk-Free Rates'!C39</f>
        <v/>
      </c>
      <c r="M39" s="128">
        <f>MIN(B39-$L39,0)</f>
        <v/>
      </c>
      <c r="N39" s="128">
        <f>MIN(C39-$L39,0)</f>
        <v/>
      </c>
      <c r="O39" s="128">
        <f>MIN(D39-$L39,0)</f>
        <v/>
      </c>
      <c r="P39" s="128">
        <f>MIN(E39-$L39,0)</f>
        <v/>
      </c>
      <c r="Q39" s="128">
        <f>MIN(F39-$L39,0)</f>
        <v/>
      </c>
      <c r="R39" s="128">
        <f>MIN(G39-$L39,0)</f>
        <v/>
      </c>
      <c r="S39" s="128">
        <f>MIN(H39-$L39,0)</f>
        <v/>
      </c>
      <c r="T39" s="128">
        <f>MIN(I39-$L39,0)</f>
        <v/>
      </c>
      <c r="U39" s="128">
        <f>MIN(J39-$L39,0)</f>
        <v/>
      </c>
      <c r="V39" s="128">
        <f>MIN(K39-$L39,0)</f>
        <v/>
      </c>
    </row>
    <row r="40" ht="19" customHeight="1">
      <c r="A40" s="124" t="n">
        <v>46265</v>
      </c>
      <c r="B40" s="129">
        <f>IFERROR('Monthly Prices'!B41/'Monthly Prices'!B40-1,"")</f>
        <v/>
      </c>
      <c r="C40" s="129">
        <f>IFERROR('Monthly Prices'!C41/'Monthly Prices'!C40-1,"")</f>
        <v/>
      </c>
      <c r="D40" s="129">
        <f>IFERROR('Monthly Prices'!D41/'Monthly Prices'!D40-1,"")</f>
        <v/>
      </c>
      <c r="E40" s="129">
        <f>IFERROR('Monthly Prices'!E41/'Monthly Prices'!E40-1,"")</f>
        <v/>
      </c>
      <c r="F40" s="129">
        <f>IFERROR('Monthly Prices'!F41/'Monthly Prices'!F40-1,"")</f>
        <v/>
      </c>
      <c r="G40" s="129">
        <f>IFERROR('Monthly Prices'!G41/'Monthly Prices'!G40-1,"")</f>
        <v/>
      </c>
      <c r="H40" s="129">
        <f>IFERROR('Monthly Prices'!H41/'Monthly Prices'!H40-1,"")</f>
        <v/>
      </c>
      <c r="I40" s="129">
        <f>IFERROR('Monthly Prices'!I41/'Monthly Prices'!I40-1,"")</f>
        <v/>
      </c>
      <c r="J40" s="129">
        <f>IFERROR('Monthly Prices'!J41/'Monthly Prices'!J40-1,"")</f>
        <v/>
      </c>
      <c r="K40" s="129">
        <f>IFERROR('Monthly Prices'!K41/'Monthly Prices'!K40-1,"")</f>
        <v/>
      </c>
      <c r="L40" s="151">
        <f>'Risk-Free Rates'!C40</f>
        <v/>
      </c>
      <c r="M40" s="128">
        <f>MIN(B40-$L40,0)</f>
        <v/>
      </c>
      <c r="N40" s="128">
        <f>MIN(C40-$L40,0)</f>
        <v/>
      </c>
      <c r="O40" s="128">
        <f>MIN(D40-$L40,0)</f>
        <v/>
      </c>
      <c r="P40" s="128">
        <f>MIN(E40-$L40,0)</f>
        <v/>
      </c>
      <c r="Q40" s="128">
        <f>MIN(F40-$L40,0)</f>
        <v/>
      </c>
      <c r="R40" s="128">
        <f>MIN(G40-$L40,0)</f>
        <v/>
      </c>
      <c r="S40" s="128">
        <f>MIN(H40-$L40,0)</f>
        <v/>
      </c>
      <c r="T40" s="128">
        <f>MIN(I40-$L40,0)</f>
        <v/>
      </c>
      <c r="U40" s="128">
        <f>MIN(J40-$L40,0)</f>
        <v/>
      </c>
      <c r="V40" s="128">
        <f>MIN(K40-$L40,0)</f>
        <v/>
      </c>
    </row>
  </sheetData>
  <autoFilter ref="A4:K40"/>
  <mergeCells count="2">
    <mergeCell ref="A2:K2"/>
    <mergeCell ref="A1:K1"/>
  </mergeCells>
  <pageMargins left="0.25" right="0.25" top="0.4" bottom="0.4" header="0.5" footer="0.5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45" customWidth="1" min="4" max="4"/>
    <col width="20" customWidth="1" min="5" max="5"/>
  </cols>
  <sheetData>
    <row r="1" ht="28" customHeight="1">
      <c r="A1" s="120" t="inlineStr">
        <is>
          <t>Risk-Free Rate Series</t>
        </is>
      </c>
    </row>
    <row r="2" ht="34" customHeight="1">
      <c r="A2" s="121" t="inlineStr">
        <is>
          <t>Return-month alignment plus the last available business-day 3-month U.S. Treasury constant-maturity yield (FRED DGS3MO).</t>
        </is>
      </c>
    </row>
    <row r="4">
      <c r="A4" s="74" t="inlineStr">
        <is>
          <t>Return Month</t>
        </is>
      </c>
      <c r="B4" s="74" t="inlineStr">
        <is>
          <t>DGS3MO Annual Yield</t>
        </is>
      </c>
      <c r="C4" s="74" t="inlineStr">
        <is>
          <t>Monthly Equivalent</t>
        </is>
      </c>
      <c r="D4" s="74" t="inlineStr">
        <is>
          <t>Source URL</t>
        </is>
      </c>
      <c r="E4" s="74" t="inlineStr">
        <is>
          <t>FRED Observation Date</t>
        </is>
      </c>
    </row>
    <row r="5">
      <c r="A5" s="122" t="n">
        <v>45199</v>
      </c>
      <c r="B5" s="149" t="n">
        <v>0.0555</v>
      </c>
      <c r="C5" s="152">
        <f>(1+B5)^(1/12)-1</f>
        <v/>
      </c>
      <c r="D5" s="123" t="inlineStr">
        <is>
          <t>https://fred.stlouisfed.org/series/DGS3MO</t>
        </is>
      </c>
      <c r="E5" s="153" t="n">
        <v>45198</v>
      </c>
    </row>
    <row r="6">
      <c r="A6" s="122" t="n">
        <v>45230</v>
      </c>
      <c r="B6" s="149" t="n">
        <v>0.0559</v>
      </c>
      <c r="C6" s="152">
        <f>(1+B6)^(1/12)-1</f>
        <v/>
      </c>
      <c r="D6" s="123" t="inlineStr">
        <is>
          <t>https://fred.stlouisfed.org/series/DGS3MO</t>
        </is>
      </c>
      <c r="E6" s="153" t="n">
        <v>45230</v>
      </c>
    </row>
    <row r="7">
      <c r="A7" s="122" t="n">
        <v>45260</v>
      </c>
      <c r="B7" s="149" t="n">
        <v>0.0545</v>
      </c>
      <c r="C7" s="152">
        <f>(1+B7)^(1/12)-1</f>
        <v/>
      </c>
      <c r="D7" s="123" t="inlineStr">
        <is>
          <t>https://fred.stlouisfed.org/series/DGS3MO</t>
        </is>
      </c>
      <c r="E7" s="153" t="n">
        <v>45260</v>
      </c>
    </row>
    <row r="8">
      <c r="A8" s="122" t="n">
        <v>45291</v>
      </c>
      <c r="B8" s="149" t="n">
        <v>0.05400000000000001</v>
      </c>
      <c r="C8" s="152">
        <f>(1+B8)^(1/12)-1</f>
        <v/>
      </c>
      <c r="D8" s="123" t="inlineStr">
        <is>
          <t>https://fred.stlouisfed.org/series/DGS3MO</t>
        </is>
      </c>
      <c r="E8" s="153" t="n">
        <v>45289</v>
      </c>
    </row>
    <row r="9">
      <c r="A9" s="122" t="n">
        <v>45322</v>
      </c>
      <c r="B9" s="149" t="n">
        <v>0.0542</v>
      </c>
      <c r="C9" s="152">
        <f>(1+B9)^(1/12)-1</f>
        <v/>
      </c>
      <c r="D9" s="123" t="inlineStr">
        <is>
          <t>https://fred.stlouisfed.org/series/DGS3MO</t>
        </is>
      </c>
      <c r="E9" s="153" t="n">
        <v>45322</v>
      </c>
    </row>
    <row r="10">
      <c r="A10" s="122" t="n">
        <v>45351</v>
      </c>
      <c r="B10" s="149" t="n">
        <v>0.0545</v>
      </c>
      <c r="C10" s="152">
        <f>(1+B10)^(1/12)-1</f>
        <v/>
      </c>
      <c r="D10" s="123" t="inlineStr">
        <is>
          <t>https://fred.stlouisfed.org/series/DGS3MO</t>
        </is>
      </c>
      <c r="E10" s="153" t="n">
        <v>45351</v>
      </c>
    </row>
    <row r="11">
      <c r="A11" s="122" t="n">
        <v>45382</v>
      </c>
      <c r="B11" s="149" t="n">
        <v>0.0546</v>
      </c>
      <c r="C11" s="152">
        <f>(1+B11)^(1/12)-1</f>
        <v/>
      </c>
      <c r="D11" s="123" t="inlineStr">
        <is>
          <t>https://fred.stlouisfed.org/series/DGS3MO</t>
        </is>
      </c>
      <c r="E11" s="153" t="n">
        <v>45379</v>
      </c>
    </row>
    <row r="12">
      <c r="A12" s="122" t="n">
        <v>45412</v>
      </c>
      <c r="B12" s="149" t="n">
        <v>0.0546</v>
      </c>
      <c r="C12" s="152">
        <f>(1+B12)^(1/12)-1</f>
        <v/>
      </c>
      <c r="D12" s="123" t="inlineStr">
        <is>
          <t>https://fred.stlouisfed.org/series/DGS3MO</t>
        </is>
      </c>
      <c r="E12" s="153" t="n">
        <v>45412</v>
      </c>
    </row>
    <row r="13">
      <c r="A13" s="122" t="n">
        <v>45443</v>
      </c>
      <c r="B13" s="149" t="n">
        <v>0.0546</v>
      </c>
      <c r="C13" s="152">
        <f>(1+B13)^(1/12)-1</f>
        <v/>
      </c>
      <c r="D13" s="123" t="inlineStr">
        <is>
          <t>https://fred.stlouisfed.org/series/DGS3MO</t>
        </is>
      </c>
      <c r="E13" s="153" t="n">
        <v>45443</v>
      </c>
    </row>
    <row r="14">
      <c r="A14" s="122" t="n">
        <v>45473</v>
      </c>
      <c r="B14" s="149" t="n">
        <v>0.0548</v>
      </c>
      <c r="C14" s="152">
        <f>(1+B14)^(1/12)-1</f>
        <v/>
      </c>
      <c r="D14" s="123" t="inlineStr">
        <is>
          <t>https://fred.stlouisfed.org/series/DGS3MO</t>
        </is>
      </c>
      <c r="E14" s="153" t="n">
        <v>45471</v>
      </c>
    </row>
    <row r="15">
      <c r="A15" s="122" t="n">
        <v>45504</v>
      </c>
      <c r="B15" s="149" t="n">
        <v>0.0541</v>
      </c>
      <c r="C15" s="152">
        <f>(1+B15)^(1/12)-1</f>
        <v/>
      </c>
      <c r="D15" s="123" t="inlineStr">
        <is>
          <t>https://fred.stlouisfed.org/series/DGS3MO</t>
        </is>
      </c>
      <c r="E15" s="153" t="n">
        <v>45504</v>
      </c>
    </row>
    <row r="16">
      <c r="A16" s="122" t="n">
        <v>45535</v>
      </c>
      <c r="B16" s="149" t="n">
        <v>0.0521</v>
      </c>
      <c r="C16" s="152">
        <f>(1+B16)^(1/12)-1</f>
        <v/>
      </c>
      <c r="D16" s="123" t="inlineStr">
        <is>
          <t>https://fred.stlouisfed.org/series/DGS3MO</t>
        </is>
      </c>
      <c r="E16" s="153" t="n">
        <v>45534</v>
      </c>
    </row>
    <row r="17">
      <c r="A17" s="122" t="n">
        <v>45565</v>
      </c>
      <c r="B17" s="149" t="n">
        <v>0.0473</v>
      </c>
      <c r="C17" s="152">
        <f>(1+B17)^(1/12)-1</f>
        <v/>
      </c>
      <c r="D17" s="123" t="inlineStr">
        <is>
          <t>https://fred.stlouisfed.org/series/DGS3MO</t>
        </is>
      </c>
      <c r="E17" s="153" t="n">
        <v>45565</v>
      </c>
    </row>
    <row r="18">
      <c r="A18" s="122" t="n">
        <v>45596</v>
      </c>
      <c r="B18" s="149" t="n">
        <v>0.0464</v>
      </c>
      <c r="C18" s="152">
        <f>(1+B18)^(1/12)-1</f>
        <v/>
      </c>
      <c r="D18" s="123" t="inlineStr">
        <is>
          <t>https://fred.stlouisfed.org/series/DGS3MO</t>
        </is>
      </c>
      <c r="E18" s="153" t="n">
        <v>45596</v>
      </c>
    </row>
    <row r="19">
      <c r="A19" s="122" t="n">
        <v>45626</v>
      </c>
      <c r="B19" s="149" t="n">
        <v>0.0458</v>
      </c>
      <c r="C19" s="152">
        <f>(1+B19)^(1/12)-1</f>
        <v/>
      </c>
      <c r="D19" s="123" t="inlineStr">
        <is>
          <t>https://fred.stlouisfed.org/series/DGS3MO</t>
        </is>
      </c>
      <c r="E19" s="153" t="n">
        <v>45625</v>
      </c>
    </row>
    <row r="20">
      <c r="A20" s="122" t="n">
        <v>45657</v>
      </c>
      <c r="B20" s="149" t="n">
        <v>0.0437</v>
      </c>
      <c r="C20" s="152">
        <f>(1+B20)^(1/12)-1</f>
        <v/>
      </c>
      <c r="D20" s="123" t="inlineStr">
        <is>
          <t>https://fred.stlouisfed.org/series/DGS3MO</t>
        </is>
      </c>
      <c r="E20" s="153" t="n">
        <v>45657</v>
      </c>
    </row>
    <row r="21">
      <c r="A21" s="122" t="n">
        <v>45688</v>
      </c>
      <c r="B21" s="149" t="n">
        <v>0.0431</v>
      </c>
      <c r="C21" s="152">
        <f>(1+B21)^(1/12)-1</f>
        <v/>
      </c>
      <c r="D21" s="123" t="inlineStr">
        <is>
          <t>https://fred.stlouisfed.org/series/DGS3MO</t>
        </is>
      </c>
      <c r="E21" s="153" t="n">
        <v>45688</v>
      </c>
    </row>
    <row r="22">
      <c r="A22" s="122" t="n">
        <v>45716</v>
      </c>
      <c r="B22" s="149" t="n">
        <v>0.0432</v>
      </c>
      <c r="C22" s="152">
        <f>(1+B22)^(1/12)-1</f>
        <v/>
      </c>
      <c r="D22" s="123" t="inlineStr">
        <is>
          <t>https://fred.stlouisfed.org/series/DGS3MO</t>
        </is>
      </c>
      <c r="E22" s="153" t="n">
        <v>45716</v>
      </c>
    </row>
    <row r="23">
      <c r="A23" s="122" t="n">
        <v>45747</v>
      </c>
      <c r="B23" s="149" t="n">
        <v>0.0432</v>
      </c>
      <c r="C23" s="152">
        <f>(1+B23)^(1/12)-1</f>
        <v/>
      </c>
      <c r="D23" s="123" t="inlineStr">
        <is>
          <t>https://fred.stlouisfed.org/series/DGS3MO</t>
        </is>
      </c>
      <c r="E23" s="153" t="n">
        <v>45747</v>
      </c>
    </row>
    <row r="24">
      <c r="A24" s="122" t="n">
        <v>45777</v>
      </c>
      <c r="B24" s="149" t="n">
        <v>0.0431</v>
      </c>
      <c r="C24" s="152">
        <f>(1+B24)^(1/12)-1</f>
        <v/>
      </c>
      <c r="D24" s="123" t="inlineStr">
        <is>
          <t>https://fred.stlouisfed.org/series/DGS3MO</t>
        </is>
      </c>
      <c r="E24" s="153" t="n">
        <v>45777</v>
      </c>
    </row>
    <row r="25">
      <c r="A25" s="122" t="n">
        <v>45808</v>
      </c>
      <c r="B25" s="149" t="n">
        <v>0.0436</v>
      </c>
      <c r="C25" s="152">
        <f>(1+B25)^(1/12)-1</f>
        <v/>
      </c>
      <c r="D25" s="123" t="inlineStr">
        <is>
          <t>https://fred.stlouisfed.org/series/DGS3MO</t>
        </is>
      </c>
      <c r="E25" s="153" t="n">
        <v>45807</v>
      </c>
    </row>
    <row r="26">
      <c r="A26" s="122" t="n">
        <v>45838</v>
      </c>
      <c r="B26" s="149" t="n">
        <v>0.0441</v>
      </c>
      <c r="C26" s="152">
        <f>(1+B26)^(1/12)-1</f>
        <v/>
      </c>
      <c r="D26" s="123" t="inlineStr">
        <is>
          <t>https://fred.stlouisfed.org/series/DGS3MO</t>
        </is>
      </c>
      <c r="E26" s="153" t="n">
        <v>45838</v>
      </c>
    </row>
    <row r="27">
      <c r="A27" s="122" t="n">
        <v>45869</v>
      </c>
      <c r="B27" s="149" t="n">
        <v>0.0441</v>
      </c>
      <c r="C27" s="152">
        <f>(1+B27)^(1/12)-1</f>
        <v/>
      </c>
      <c r="D27" s="123" t="inlineStr">
        <is>
          <t>https://fred.stlouisfed.org/series/DGS3MO</t>
        </is>
      </c>
      <c r="E27" s="153" t="n">
        <v>45869</v>
      </c>
    </row>
    <row r="28">
      <c r="A28" s="122" t="n">
        <v>45900</v>
      </c>
      <c r="B28" s="149" t="n">
        <v>0.0423</v>
      </c>
      <c r="C28" s="152">
        <f>(1+B28)^(1/12)-1</f>
        <v/>
      </c>
      <c r="D28" s="123" t="inlineStr">
        <is>
          <t>https://fred.stlouisfed.org/series/DGS3MO</t>
        </is>
      </c>
      <c r="E28" s="153" t="n">
        <v>45898</v>
      </c>
    </row>
    <row r="29">
      <c r="A29" s="122" t="n">
        <v>45930</v>
      </c>
      <c r="B29" s="149" t="n">
        <v>0.04019999999999999</v>
      </c>
      <c r="C29" s="152">
        <f>(1+B29)^(1/12)-1</f>
        <v/>
      </c>
      <c r="D29" s="123" t="inlineStr">
        <is>
          <t>https://fred.stlouisfed.org/series/DGS3MO</t>
        </is>
      </c>
      <c r="E29" s="153" t="n">
        <v>45930</v>
      </c>
    </row>
    <row r="30">
      <c r="A30" s="122" t="n">
        <v>45961</v>
      </c>
      <c r="B30" s="149" t="n">
        <v>0.0389</v>
      </c>
      <c r="C30" s="152">
        <f>(1+B30)^(1/12)-1</f>
        <v/>
      </c>
      <c r="D30" s="123" t="inlineStr">
        <is>
          <t>https://fred.stlouisfed.org/series/DGS3MO</t>
        </is>
      </c>
      <c r="E30" s="153" t="n">
        <v>45961</v>
      </c>
    </row>
    <row r="31">
      <c r="A31" s="122" t="n">
        <v>45991</v>
      </c>
      <c r="B31" s="149" t="n">
        <v>0.0388</v>
      </c>
      <c r="C31" s="152">
        <f>(1+B31)^(1/12)-1</f>
        <v/>
      </c>
      <c r="D31" s="123" t="inlineStr">
        <is>
          <t>https://fred.stlouisfed.org/series/DGS3MO</t>
        </is>
      </c>
      <c r="E31" s="153" t="n">
        <v>45989</v>
      </c>
    </row>
    <row r="32">
      <c r="A32" s="122" t="n">
        <v>46022</v>
      </c>
      <c r="B32" s="149" t="n">
        <v>0.0367</v>
      </c>
      <c r="C32" s="152">
        <f>(1+B32)^(1/12)-1</f>
        <v/>
      </c>
      <c r="D32" s="123" t="inlineStr">
        <is>
          <t>https://fred.stlouisfed.org/series/DGS3MO</t>
        </is>
      </c>
      <c r="E32" s="153" t="n">
        <v>46022</v>
      </c>
    </row>
    <row r="33">
      <c r="A33" s="122" t="n">
        <v>46053</v>
      </c>
      <c r="B33" s="149" t="n">
        <v>0.0367</v>
      </c>
      <c r="C33" s="152">
        <f>(1+B33)^(1/12)-1</f>
        <v/>
      </c>
      <c r="D33" s="123" t="inlineStr">
        <is>
          <t>https://fred.stlouisfed.org/series/DGS3MO</t>
        </is>
      </c>
      <c r="E33" s="153" t="n">
        <v>46052</v>
      </c>
    </row>
    <row r="34">
      <c r="A34" s="122" t="n">
        <v>46081</v>
      </c>
      <c r="B34" s="149" t="n">
        <v>0.0367</v>
      </c>
      <c r="C34" s="152">
        <f>(1+B34)^(1/12)-1</f>
        <v/>
      </c>
      <c r="D34" s="123" t="inlineStr">
        <is>
          <t>https://fred.stlouisfed.org/series/DGS3MO</t>
        </is>
      </c>
      <c r="E34" s="153" t="n">
        <v>46080</v>
      </c>
    </row>
    <row r="35">
      <c r="A35" s="122" t="n">
        <v>46112</v>
      </c>
      <c r="B35" s="149" t="n">
        <v>0.03700000000000001</v>
      </c>
      <c r="C35" s="152">
        <f>(1+B35)^(1/12)-1</f>
        <v/>
      </c>
      <c r="D35" s="123" t="inlineStr">
        <is>
          <t>https://fred.stlouisfed.org/series/DGS3MO</t>
        </is>
      </c>
      <c r="E35" s="153" t="n">
        <v>46112</v>
      </c>
    </row>
    <row r="36">
      <c r="A36" s="122" t="n">
        <v>46142</v>
      </c>
      <c r="B36" s="149" t="n">
        <v>0.0368</v>
      </c>
      <c r="C36" s="152">
        <f>(1+B36)^(1/12)-1</f>
        <v/>
      </c>
      <c r="D36" s="123" t="inlineStr">
        <is>
          <t>https://fred.stlouisfed.org/series/DGS3MO</t>
        </is>
      </c>
      <c r="E36" s="153" t="n">
        <v>46142</v>
      </c>
    </row>
    <row r="37">
      <c r="A37" s="122" t="n">
        <v>46173</v>
      </c>
      <c r="B37" s="149" t="n">
        <v>0.0369</v>
      </c>
      <c r="C37" s="152">
        <f>(1+B37)^(1/12)-1</f>
        <v/>
      </c>
      <c r="D37" s="123" t="inlineStr">
        <is>
          <t>https://fred.stlouisfed.org/series/DGS3MO</t>
        </is>
      </c>
      <c r="E37" s="153" t="n">
        <v>46171</v>
      </c>
    </row>
    <row r="38">
      <c r="A38" s="122" t="n">
        <v>46203</v>
      </c>
      <c r="B38" s="149" t="n">
        <v>0.0387</v>
      </c>
      <c r="C38" s="152">
        <f>(1+B38)^(1/12)-1</f>
        <v/>
      </c>
      <c r="D38" s="123" t="inlineStr">
        <is>
          <t>https://fred.stlouisfed.org/series/DGS3MO</t>
        </is>
      </c>
      <c r="E38" s="153" t="n">
        <v>46203</v>
      </c>
    </row>
    <row r="39">
      <c r="A39" s="122" t="n">
        <v>46234</v>
      </c>
      <c r="B39" s="149" t="n">
        <v>0.0383</v>
      </c>
      <c r="C39" s="152">
        <f>(1+B39)^(1/12)-1</f>
        <v/>
      </c>
      <c r="D39" s="123" t="inlineStr">
        <is>
          <t>https://fred.stlouisfed.org/series/DGS3MO</t>
        </is>
      </c>
      <c r="E39" s="153" t="n">
        <v>46234</v>
      </c>
    </row>
    <row r="40">
      <c r="A40" s="122" t="n">
        <v>46265</v>
      </c>
      <c r="B40" s="149" t="n">
        <v>0.0391</v>
      </c>
      <c r="C40" s="152">
        <f>(1+B40)^(1/12)-1</f>
        <v/>
      </c>
      <c r="D40" s="123" t="inlineStr">
        <is>
          <t>https://fred.stlouisfed.org/series/DGS3MO</t>
        </is>
      </c>
      <c r="E40" s="153" t="n">
        <v>46265</v>
      </c>
    </row>
  </sheetData>
  <autoFilter ref="A4:D40"/>
  <mergeCells count="2">
    <mergeCell ref="A2:E2"/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K41"/>
  <sheetViews>
    <sheetView showGridLines="0" zoomScale="88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20" t="inlineStr">
        <is>
          <t>Month-End Drawdown Calculations</t>
        </is>
      </c>
    </row>
    <row r="2" ht="28" customHeight="1">
      <c r="A2" s="121" t="inlineStr">
        <is>
          <t>Drawdowns are measured from month-end adjusted prices, so intramonth peak-to-trough losses can be larger.</t>
        </is>
      </c>
    </row>
    <row r="4" ht="34" customHeight="1">
      <c r="A4" s="74" t="inlineStr">
        <is>
          <t>Date</t>
        </is>
      </c>
      <c r="B4" s="74" t="inlineStr">
        <is>
          <t>SPY</t>
        </is>
      </c>
      <c r="C4" s="74" t="inlineStr">
        <is>
          <t>QQQ</t>
        </is>
      </c>
      <c r="D4" s="74" t="inlineStr">
        <is>
          <t>IWM</t>
        </is>
      </c>
      <c r="E4" s="74" t="inlineStr">
        <is>
          <t>EFA</t>
        </is>
      </c>
      <c r="F4" s="74" t="inlineStr">
        <is>
          <t>EEM</t>
        </is>
      </c>
      <c r="G4" s="74" t="inlineStr">
        <is>
          <t>AGG</t>
        </is>
      </c>
      <c r="H4" s="74" t="inlineStr">
        <is>
          <t>LQD</t>
        </is>
      </c>
      <c r="I4" s="74" t="inlineStr">
        <is>
          <t>HYG</t>
        </is>
      </c>
      <c r="J4" s="74" t="inlineStr">
        <is>
          <t>GLD</t>
        </is>
      </c>
      <c r="K4" s="74" t="inlineStr">
        <is>
          <t>VNQ</t>
        </is>
      </c>
    </row>
    <row r="5" ht="19" customHeight="1">
      <c r="A5" s="122" t="n">
        <v>45169</v>
      </c>
      <c r="B5" s="127">
        <f>'Monthly Prices'!B5/MAX('Monthly Prices'!$B$5:'Monthly Prices'!B5)-1</f>
        <v/>
      </c>
      <c r="C5" s="127">
        <f>'Monthly Prices'!C5/MAX('Monthly Prices'!$C$5:'Monthly Prices'!C5)-1</f>
        <v/>
      </c>
      <c r="D5" s="127">
        <f>'Monthly Prices'!D5/MAX('Monthly Prices'!$D$5:'Monthly Prices'!D5)-1</f>
        <v/>
      </c>
      <c r="E5" s="127">
        <f>'Monthly Prices'!E5/MAX('Monthly Prices'!$E$5:'Monthly Prices'!E5)-1</f>
        <v/>
      </c>
      <c r="F5" s="127">
        <f>'Monthly Prices'!F5/MAX('Monthly Prices'!$F$5:'Monthly Prices'!F5)-1</f>
        <v/>
      </c>
      <c r="G5" s="127">
        <f>'Monthly Prices'!G5/MAX('Monthly Prices'!$G$5:'Monthly Prices'!G5)-1</f>
        <v/>
      </c>
      <c r="H5" s="127">
        <f>'Monthly Prices'!H5/MAX('Monthly Prices'!$H$5:'Monthly Prices'!H5)-1</f>
        <v/>
      </c>
      <c r="I5" s="127">
        <f>'Monthly Prices'!I5/MAX('Monthly Prices'!$I$5:'Monthly Prices'!I5)-1</f>
        <v/>
      </c>
      <c r="J5" s="127">
        <f>'Monthly Prices'!J5/MAX('Monthly Prices'!$J$5:'Monthly Prices'!J5)-1</f>
        <v/>
      </c>
      <c r="K5" s="127">
        <f>'Monthly Prices'!K5/MAX('Monthly Prices'!$K$5:'Monthly Prices'!K5)-1</f>
        <v/>
      </c>
    </row>
    <row r="6" ht="19" customHeight="1">
      <c r="A6" s="124" t="n">
        <v>45199</v>
      </c>
      <c r="B6" s="129">
        <f>'Monthly Prices'!B6/MAX('Monthly Prices'!$B$5:'Monthly Prices'!B6)-1</f>
        <v/>
      </c>
      <c r="C6" s="129">
        <f>'Monthly Prices'!C6/MAX('Monthly Prices'!$C$5:'Monthly Prices'!C6)-1</f>
        <v/>
      </c>
      <c r="D6" s="129">
        <f>'Monthly Prices'!D6/MAX('Monthly Prices'!$D$5:'Monthly Prices'!D6)-1</f>
        <v/>
      </c>
      <c r="E6" s="129">
        <f>'Monthly Prices'!E6/MAX('Monthly Prices'!$E$5:'Monthly Prices'!E6)-1</f>
        <v/>
      </c>
      <c r="F6" s="129">
        <f>'Monthly Prices'!F6/MAX('Monthly Prices'!$F$5:'Monthly Prices'!F6)-1</f>
        <v/>
      </c>
      <c r="G6" s="129">
        <f>'Monthly Prices'!G6/MAX('Monthly Prices'!$G$5:'Monthly Prices'!G6)-1</f>
        <v/>
      </c>
      <c r="H6" s="129">
        <f>'Monthly Prices'!H6/MAX('Monthly Prices'!$H$5:'Monthly Prices'!H6)-1</f>
        <v/>
      </c>
      <c r="I6" s="129">
        <f>'Monthly Prices'!I6/MAX('Monthly Prices'!$I$5:'Monthly Prices'!I6)-1</f>
        <v/>
      </c>
      <c r="J6" s="129">
        <f>'Monthly Prices'!J6/MAX('Monthly Prices'!$J$5:'Monthly Prices'!J6)-1</f>
        <v/>
      </c>
      <c r="K6" s="129">
        <f>'Monthly Prices'!K6/MAX('Monthly Prices'!$K$5:'Monthly Prices'!K6)-1</f>
        <v/>
      </c>
    </row>
    <row r="7" ht="19" customHeight="1">
      <c r="A7" s="122" t="n">
        <v>45230</v>
      </c>
      <c r="B7" s="127">
        <f>'Monthly Prices'!B7/MAX('Monthly Prices'!$B$5:'Monthly Prices'!B7)-1</f>
        <v/>
      </c>
      <c r="C7" s="127">
        <f>'Monthly Prices'!C7/MAX('Monthly Prices'!$C$5:'Monthly Prices'!C7)-1</f>
        <v/>
      </c>
      <c r="D7" s="127">
        <f>'Monthly Prices'!D7/MAX('Monthly Prices'!$D$5:'Monthly Prices'!D7)-1</f>
        <v/>
      </c>
      <c r="E7" s="127">
        <f>'Monthly Prices'!E7/MAX('Monthly Prices'!$E$5:'Monthly Prices'!E7)-1</f>
        <v/>
      </c>
      <c r="F7" s="127">
        <f>'Monthly Prices'!F7/MAX('Monthly Prices'!$F$5:'Monthly Prices'!F7)-1</f>
        <v/>
      </c>
      <c r="G7" s="127">
        <f>'Monthly Prices'!G7/MAX('Monthly Prices'!$G$5:'Monthly Prices'!G7)-1</f>
        <v/>
      </c>
      <c r="H7" s="127">
        <f>'Monthly Prices'!H7/MAX('Monthly Prices'!$H$5:'Monthly Prices'!H7)-1</f>
        <v/>
      </c>
      <c r="I7" s="127">
        <f>'Monthly Prices'!I7/MAX('Monthly Prices'!$I$5:'Monthly Prices'!I7)-1</f>
        <v/>
      </c>
      <c r="J7" s="127">
        <f>'Monthly Prices'!J7/MAX('Monthly Prices'!$J$5:'Monthly Prices'!J7)-1</f>
        <v/>
      </c>
      <c r="K7" s="127">
        <f>'Monthly Prices'!K7/MAX('Monthly Prices'!$K$5:'Monthly Prices'!K7)-1</f>
        <v/>
      </c>
    </row>
    <row r="8" ht="19" customHeight="1">
      <c r="A8" s="124" t="n">
        <v>45260</v>
      </c>
      <c r="B8" s="129">
        <f>'Monthly Prices'!B8/MAX('Monthly Prices'!$B$5:'Monthly Prices'!B8)-1</f>
        <v/>
      </c>
      <c r="C8" s="129">
        <f>'Monthly Prices'!C8/MAX('Monthly Prices'!$C$5:'Monthly Prices'!C8)-1</f>
        <v/>
      </c>
      <c r="D8" s="129">
        <f>'Monthly Prices'!D8/MAX('Monthly Prices'!$D$5:'Monthly Prices'!D8)-1</f>
        <v/>
      </c>
      <c r="E8" s="129">
        <f>'Monthly Prices'!E8/MAX('Monthly Prices'!$E$5:'Monthly Prices'!E8)-1</f>
        <v/>
      </c>
      <c r="F8" s="129">
        <f>'Monthly Prices'!F8/MAX('Monthly Prices'!$F$5:'Monthly Prices'!F8)-1</f>
        <v/>
      </c>
      <c r="G8" s="129">
        <f>'Monthly Prices'!G8/MAX('Monthly Prices'!$G$5:'Monthly Prices'!G8)-1</f>
        <v/>
      </c>
      <c r="H8" s="129">
        <f>'Monthly Prices'!H8/MAX('Monthly Prices'!$H$5:'Monthly Prices'!H8)-1</f>
        <v/>
      </c>
      <c r="I8" s="129">
        <f>'Monthly Prices'!I8/MAX('Monthly Prices'!$I$5:'Monthly Prices'!I8)-1</f>
        <v/>
      </c>
      <c r="J8" s="129">
        <f>'Monthly Prices'!J8/MAX('Monthly Prices'!$J$5:'Monthly Prices'!J8)-1</f>
        <v/>
      </c>
      <c r="K8" s="129">
        <f>'Monthly Prices'!K8/MAX('Monthly Prices'!$K$5:'Monthly Prices'!K8)-1</f>
        <v/>
      </c>
    </row>
    <row r="9" ht="19" customHeight="1">
      <c r="A9" s="122" t="n">
        <v>45291</v>
      </c>
      <c r="B9" s="127">
        <f>'Monthly Prices'!B9/MAX('Monthly Prices'!$B$5:'Monthly Prices'!B9)-1</f>
        <v/>
      </c>
      <c r="C9" s="127">
        <f>'Monthly Prices'!C9/MAX('Monthly Prices'!$C$5:'Monthly Prices'!C9)-1</f>
        <v/>
      </c>
      <c r="D9" s="127">
        <f>'Monthly Prices'!D9/MAX('Monthly Prices'!$D$5:'Monthly Prices'!D9)-1</f>
        <v/>
      </c>
      <c r="E9" s="127">
        <f>'Monthly Prices'!E9/MAX('Monthly Prices'!$E$5:'Monthly Prices'!E9)-1</f>
        <v/>
      </c>
      <c r="F9" s="127">
        <f>'Monthly Prices'!F9/MAX('Monthly Prices'!$F$5:'Monthly Prices'!F9)-1</f>
        <v/>
      </c>
      <c r="G9" s="127">
        <f>'Monthly Prices'!G9/MAX('Monthly Prices'!$G$5:'Monthly Prices'!G9)-1</f>
        <v/>
      </c>
      <c r="H9" s="127">
        <f>'Monthly Prices'!H9/MAX('Monthly Prices'!$H$5:'Monthly Prices'!H9)-1</f>
        <v/>
      </c>
      <c r="I9" s="127">
        <f>'Monthly Prices'!I9/MAX('Monthly Prices'!$I$5:'Monthly Prices'!I9)-1</f>
        <v/>
      </c>
      <c r="J9" s="127">
        <f>'Monthly Prices'!J9/MAX('Monthly Prices'!$J$5:'Monthly Prices'!J9)-1</f>
        <v/>
      </c>
      <c r="K9" s="127">
        <f>'Monthly Prices'!K9/MAX('Monthly Prices'!$K$5:'Monthly Prices'!K9)-1</f>
        <v/>
      </c>
    </row>
    <row r="10" ht="19" customHeight="1">
      <c r="A10" s="124" t="n">
        <v>45322</v>
      </c>
      <c r="B10" s="129">
        <f>'Monthly Prices'!B10/MAX('Monthly Prices'!$B$5:'Monthly Prices'!B10)-1</f>
        <v/>
      </c>
      <c r="C10" s="129">
        <f>'Monthly Prices'!C10/MAX('Monthly Prices'!$C$5:'Monthly Prices'!C10)-1</f>
        <v/>
      </c>
      <c r="D10" s="129">
        <f>'Monthly Prices'!D10/MAX('Monthly Prices'!$D$5:'Monthly Prices'!D10)-1</f>
        <v/>
      </c>
      <c r="E10" s="129">
        <f>'Monthly Prices'!E10/MAX('Monthly Prices'!$E$5:'Monthly Prices'!E10)-1</f>
        <v/>
      </c>
      <c r="F10" s="129">
        <f>'Monthly Prices'!F10/MAX('Monthly Prices'!$F$5:'Monthly Prices'!F10)-1</f>
        <v/>
      </c>
      <c r="G10" s="129">
        <f>'Monthly Prices'!G10/MAX('Monthly Prices'!$G$5:'Monthly Prices'!G10)-1</f>
        <v/>
      </c>
      <c r="H10" s="129">
        <f>'Monthly Prices'!H10/MAX('Monthly Prices'!$H$5:'Monthly Prices'!H10)-1</f>
        <v/>
      </c>
      <c r="I10" s="129">
        <f>'Monthly Prices'!I10/MAX('Monthly Prices'!$I$5:'Monthly Prices'!I10)-1</f>
        <v/>
      </c>
      <c r="J10" s="129">
        <f>'Monthly Prices'!J10/MAX('Monthly Prices'!$J$5:'Monthly Prices'!J10)-1</f>
        <v/>
      </c>
      <c r="K10" s="129">
        <f>'Monthly Prices'!K10/MAX('Monthly Prices'!$K$5:'Monthly Prices'!K10)-1</f>
        <v/>
      </c>
    </row>
    <row r="11" ht="19" customHeight="1">
      <c r="A11" s="122" t="n">
        <v>45351</v>
      </c>
      <c r="B11" s="127">
        <f>'Monthly Prices'!B11/MAX('Monthly Prices'!$B$5:'Monthly Prices'!B11)-1</f>
        <v/>
      </c>
      <c r="C11" s="127">
        <f>'Monthly Prices'!C11/MAX('Monthly Prices'!$C$5:'Monthly Prices'!C11)-1</f>
        <v/>
      </c>
      <c r="D11" s="127">
        <f>'Monthly Prices'!D11/MAX('Monthly Prices'!$D$5:'Monthly Prices'!D11)-1</f>
        <v/>
      </c>
      <c r="E11" s="127">
        <f>'Monthly Prices'!E11/MAX('Monthly Prices'!$E$5:'Monthly Prices'!E11)-1</f>
        <v/>
      </c>
      <c r="F11" s="127">
        <f>'Monthly Prices'!F11/MAX('Monthly Prices'!$F$5:'Monthly Prices'!F11)-1</f>
        <v/>
      </c>
      <c r="G11" s="127">
        <f>'Monthly Prices'!G11/MAX('Monthly Prices'!$G$5:'Monthly Prices'!G11)-1</f>
        <v/>
      </c>
      <c r="H11" s="127">
        <f>'Monthly Prices'!H11/MAX('Monthly Prices'!$H$5:'Monthly Prices'!H11)-1</f>
        <v/>
      </c>
      <c r="I11" s="127">
        <f>'Monthly Prices'!I11/MAX('Monthly Prices'!$I$5:'Monthly Prices'!I11)-1</f>
        <v/>
      </c>
      <c r="J11" s="127">
        <f>'Monthly Prices'!J11/MAX('Monthly Prices'!$J$5:'Monthly Prices'!J11)-1</f>
        <v/>
      </c>
      <c r="K11" s="127">
        <f>'Monthly Prices'!K11/MAX('Monthly Prices'!$K$5:'Monthly Prices'!K11)-1</f>
        <v/>
      </c>
    </row>
    <row r="12" ht="19" customHeight="1">
      <c r="A12" s="124" t="n">
        <v>45382</v>
      </c>
      <c r="B12" s="129">
        <f>'Monthly Prices'!B12/MAX('Monthly Prices'!$B$5:'Monthly Prices'!B12)-1</f>
        <v/>
      </c>
      <c r="C12" s="129">
        <f>'Monthly Prices'!C12/MAX('Monthly Prices'!$C$5:'Monthly Prices'!C12)-1</f>
        <v/>
      </c>
      <c r="D12" s="129">
        <f>'Monthly Prices'!D12/MAX('Monthly Prices'!$D$5:'Monthly Prices'!D12)-1</f>
        <v/>
      </c>
      <c r="E12" s="129">
        <f>'Monthly Prices'!E12/MAX('Monthly Prices'!$E$5:'Monthly Prices'!E12)-1</f>
        <v/>
      </c>
      <c r="F12" s="129">
        <f>'Monthly Prices'!F12/MAX('Monthly Prices'!$F$5:'Monthly Prices'!F12)-1</f>
        <v/>
      </c>
      <c r="G12" s="129">
        <f>'Monthly Prices'!G12/MAX('Monthly Prices'!$G$5:'Monthly Prices'!G12)-1</f>
        <v/>
      </c>
      <c r="H12" s="129">
        <f>'Monthly Prices'!H12/MAX('Monthly Prices'!$H$5:'Monthly Prices'!H12)-1</f>
        <v/>
      </c>
      <c r="I12" s="129">
        <f>'Monthly Prices'!I12/MAX('Monthly Prices'!$I$5:'Monthly Prices'!I12)-1</f>
        <v/>
      </c>
      <c r="J12" s="129">
        <f>'Monthly Prices'!J12/MAX('Monthly Prices'!$J$5:'Monthly Prices'!J12)-1</f>
        <v/>
      </c>
      <c r="K12" s="129">
        <f>'Monthly Prices'!K12/MAX('Monthly Prices'!$K$5:'Monthly Prices'!K12)-1</f>
        <v/>
      </c>
    </row>
    <row r="13" ht="19" customHeight="1">
      <c r="A13" s="122" t="n">
        <v>45412</v>
      </c>
      <c r="B13" s="127">
        <f>'Monthly Prices'!B13/MAX('Monthly Prices'!$B$5:'Monthly Prices'!B13)-1</f>
        <v/>
      </c>
      <c r="C13" s="127">
        <f>'Monthly Prices'!C13/MAX('Monthly Prices'!$C$5:'Monthly Prices'!C13)-1</f>
        <v/>
      </c>
      <c r="D13" s="127">
        <f>'Monthly Prices'!D13/MAX('Monthly Prices'!$D$5:'Monthly Prices'!D13)-1</f>
        <v/>
      </c>
      <c r="E13" s="127">
        <f>'Monthly Prices'!E13/MAX('Monthly Prices'!$E$5:'Monthly Prices'!E13)-1</f>
        <v/>
      </c>
      <c r="F13" s="127">
        <f>'Monthly Prices'!F13/MAX('Monthly Prices'!$F$5:'Monthly Prices'!F13)-1</f>
        <v/>
      </c>
      <c r="G13" s="127">
        <f>'Monthly Prices'!G13/MAX('Monthly Prices'!$G$5:'Monthly Prices'!G13)-1</f>
        <v/>
      </c>
      <c r="H13" s="127">
        <f>'Monthly Prices'!H13/MAX('Monthly Prices'!$H$5:'Monthly Prices'!H13)-1</f>
        <v/>
      </c>
      <c r="I13" s="127">
        <f>'Monthly Prices'!I13/MAX('Monthly Prices'!$I$5:'Monthly Prices'!I13)-1</f>
        <v/>
      </c>
      <c r="J13" s="127">
        <f>'Monthly Prices'!J13/MAX('Monthly Prices'!$J$5:'Monthly Prices'!J13)-1</f>
        <v/>
      </c>
      <c r="K13" s="127">
        <f>'Monthly Prices'!K13/MAX('Monthly Prices'!$K$5:'Monthly Prices'!K13)-1</f>
        <v/>
      </c>
    </row>
    <row r="14" ht="19" customHeight="1">
      <c r="A14" s="124" t="n">
        <v>45443</v>
      </c>
      <c r="B14" s="129">
        <f>'Monthly Prices'!B14/MAX('Monthly Prices'!$B$5:'Monthly Prices'!B14)-1</f>
        <v/>
      </c>
      <c r="C14" s="129">
        <f>'Monthly Prices'!C14/MAX('Monthly Prices'!$C$5:'Monthly Prices'!C14)-1</f>
        <v/>
      </c>
      <c r="D14" s="129">
        <f>'Monthly Prices'!D14/MAX('Monthly Prices'!$D$5:'Monthly Prices'!D14)-1</f>
        <v/>
      </c>
      <c r="E14" s="129">
        <f>'Monthly Prices'!E14/MAX('Monthly Prices'!$E$5:'Monthly Prices'!E14)-1</f>
        <v/>
      </c>
      <c r="F14" s="129">
        <f>'Monthly Prices'!F14/MAX('Monthly Prices'!$F$5:'Monthly Prices'!F14)-1</f>
        <v/>
      </c>
      <c r="G14" s="129">
        <f>'Monthly Prices'!G14/MAX('Monthly Prices'!$G$5:'Monthly Prices'!G14)-1</f>
        <v/>
      </c>
      <c r="H14" s="129">
        <f>'Monthly Prices'!H14/MAX('Monthly Prices'!$H$5:'Monthly Prices'!H14)-1</f>
        <v/>
      </c>
      <c r="I14" s="129">
        <f>'Monthly Prices'!I14/MAX('Monthly Prices'!$I$5:'Monthly Prices'!I14)-1</f>
        <v/>
      </c>
      <c r="J14" s="129">
        <f>'Monthly Prices'!J14/MAX('Monthly Prices'!$J$5:'Monthly Prices'!J14)-1</f>
        <v/>
      </c>
      <c r="K14" s="129">
        <f>'Monthly Prices'!K14/MAX('Monthly Prices'!$K$5:'Monthly Prices'!K14)-1</f>
        <v/>
      </c>
    </row>
    <row r="15" ht="19" customHeight="1">
      <c r="A15" s="122" t="n">
        <v>45473</v>
      </c>
      <c r="B15" s="127">
        <f>'Monthly Prices'!B15/MAX('Monthly Prices'!$B$5:'Monthly Prices'!B15)-1</f>
        <v/>
      </c>
      <c r="C15" s="127">
        <f>'Monthly Prices'!C15/MAX('Monthly Prices'!$C$5:'Monthly Prices'!C15)-1</f>
        <v/>
      </c>
      <c r="D15" s="127">
        <f>'Monthly Prices'!D15/MAX('Monthly Prices'!$D$5:'Monthly Prices'!D15)-1</f>
        <v/>
      </c>
      <c r="E15" s="127">
        <f>'Monthly Prices'!E15/MAX('Monthly Prices'!$E$5:'Monthly Prices'!E15)-1</f>
        <v/>
      </c>
      <c r="F15" s="127">
        <f>'Monthly Prices'!F15/MAX('Monthly Prices'!$F$5:'Monthly Prices'!F15)-1</f>
        <v/>
      </c>
      <c r="G15" s="127">
        <f>'Monthly Prices'!G15/MAX('Monthly Prices'!$G$5:'Monthly Prices'!G15)-1</f>
        <v/>
      </c>
      <c r="H15" s="127">
        <f>'Monthly Prices'!H15/MAX('Monthly Prices'!$H$5:'Monthly Prices'!H15)-1</f>
        <v/>
      </c>
      <c r="I15" s="127">
        <f>'Monthly Prices'!I15/MAX('Monthly Prices'!$I$5:'Monthly Prices'!I15)-1</f>
        <v/>
      </c>
      <c r="J15" s="127">
        <f>'Monthly Prices'!J15/MAX('Monthly Prices'!$J$5:'Monthly Prices'!J15)-1</f>
        <v/>
      </c>
      <c r="K15" s="127">
        <f>'Monthly Prices'!K15/MAX('Monthly Prices'!$K$5:'Monthly Prices'!K15)-1</f>
        <v/>
      </c>
    </row>
    <row r="16" ht="19" customHeight="1">
      <c r="A16" s="124" t="n">
        <v>45504</v>
      </c>
      <c r="B16" s="129">
        <f>'Monthly Prices'!B16/MAX('Monthly Prices'!$B$5:'Monthly Prices'!B16)-1</f>
        <v/>
      </c>
      <c r="C16" s="129">
        <f>'Monthly Prices'!C16/MAX('Monthly Prices'!$C$5:'Monthly Prices'!C16)-1</f>
        <v/>
      </c>
      <c r="D16" s="129">
        <f>'Monthly Prices'!D16/MAX('Monthly Prices'!$D$5:'Monthly Prices'!D16)-1</f>
        <v/>
      </c>
      <c r="E16" s="129">
        <f>'Monthly Prices'!E16/MAX('Monthly Prices'!$E$5:'Monthly Prices'!E16)-1</f>
        <v/>
      </c>
      <c r="F16" s="129">
        <f>'Monthly Prices'!F16/MAX('Monthly Prices'!$F$5:'Monthly Prices'!F16)-1</f>
        <v/>
      </c>
      <c r="G16" s="129">
        <f>'Monthly Prices'!G16/MAX('Monthly Prices'!$G$5:'Monthly Prices'!G16)-1</f>
        <v/>
      </c>
      <c r="H16" s="129">
        <f>'Monthly Prices'!H16/MAX('Monthly Prices'!$H$5:'Monthly Prices'!H16)-1</f>
        <v/>
      </c>
      <c r="I16" s="129">
        <f>'Monthly Prices'!I16/MAX('Monthly Prices'!$I$5:'Monthly Prices'!I16)-1</f>
        <v/>
      </c>
      <c r="J16" s="129">
        <f>'Monthly Prices'!J16/MAX('Monthly Prices'!$J$5:'Monthly Prices'!J16)-1</f>
        <v/>
      </c>
      <c r="K16" s="129">
        <f>'Monthly Prices'!K16/MAX('Monthly Prices'!$K$5:'Monthly Prices'!K16)-1</f>
        <v/>
      </c>
    </row>
    <row r="17" ht="19" customHeight="1">
      <c r="A17" s="122" t="n">
        <v>45535</v>
      </c>
      <c r="B17" s="127">
        <f>'Monthly Prices'!B17/MAX('Monthly Prices'!$B$5:'Monthly Prices'!B17)-1</f>
        <v/>
      </c>
      <c r="C17" s="127">
        <f>'Monthly Prices'!C17/MAX('Monthly Prices'!$C$5:'Monthly Prices'!C17)-1</f>
        <v/>
      </c>
      <c r="D17" s="127">
        <f>'Monthly Prices'!D17/MAX('Monthly Prices'!$D$5:'Monthly Prices'!D17)-1</f>
        <v/>
      </c>
      <c r="E17" s="127">
        <f>'Monthly Prices'!E17/MAX('Monthly Prices'!$E$5:'Monthly Prices'!E17)-1</f>
        <v/>
      </c>
      <c r="F17" s="127">
        <f>'Monthly Prices'!F17/MAX('Monthly Prices'!$F$5:'Monthly Prices'!F17)-1</f>
        <v/>
      </c>
      <c r="G17" s="127">
        <f>'Monthly Prices'!G17/MAX('Monthly Prices'!$G$5:'Monthly Prices'!G17)-1</f>
        <v/>
      </c>
      <c r="H17" s="127">
        <f>'Monthly Prices'!H17/MAX('Monthly Prices'!$H$5:'Monthly Prices'!H17)-1</f>
        <v/>
      </c>
      <c r="I17" s="127">
        <f>'Monthly Prices'!I17/MAX('Monthly Prices'!$I$5:'Monthly Prices'!I17)-1</f>
        <v/>
      </c>
      <c r="J17" s="127">
        <f>'Monthly Prices'!J17/MAX('Monthly Prices'!$J$5:'Monthly Prices'!J17)-1</f>
        <v/>
      </c>
      <c r="K17" s="127">
        <f>'Monthly Prices'!K17/MAX('Monthly Prices'!$K$5:'Monthly Prices'!K17)-1</f>
        <v/>
      </c>
    </row>
    <row r="18" ht="19" customHeight="1">
      <c r="A18" s="124" t="n">
        <v>45565</v>
      </c>
      <c r="B18" s="129">
        <f>'Monthly Prices'!B18/MAX('Monthly Prices'!$B$5:'Monthly Prices'!B18)-1</f>
        <v/>
      </c>
      <c r="C18" s="129">
        <f>'Monthly Prices'!C18/MAX('Monthly Prices'!$C$5:'Monthly Prices'!C18)-1</f>
        <v/>
      </c>
      <c r="D18" s="129">
        <f>'Monthly Prices'!D18/MAX('Monthly Prices'!$D$5:'Monthly Prices'!D18)-1</f>
        <v/>
      </c>
      <c r="E18" s="129">
        <f>'Monthly Prices'!E18/MAX('Monthly Prices'!$E$5:'Monthly Prices'!E18)-1</f>
        <v/>
      </c>
      <c r="F18" s="129">
        <f>'Monthly Prices'!F18/MAX('Monthly Prices'!$F$5:'Monthly Prices'!F18)-1</f>
        <v/>
      </c>
      <c r="G18" s="129">
        <f>'Monthly Prices'!G18/MAX('Monthly Prices'!$G$5:'Monthly Prices'!G18)-1</f>
        <v/>
      </c>
      <c r="H18" s="129">
        <f>'Monthly Prices'!H18/MAX('Monthly Prices'!$H$5:'Monthly Prices'!H18)-1</f>
        <v/>
      </c>
      <c r="I18" s="129">
        <f>'Monthly Prices'!I18/MAX('Monthly Prices'!$I$5:'Monthly Prices'!I18)-1</f>
        <v/>
      </c>
      <c r="J18" s="129">
        <f>'Monthly Prices'!J18/MAX('Monthly Prices'!$J$5:'Monthly Prices'!J18)-1</f>
        <v/>
      </c>
      <c r="K18" s="129">
        <f>'Monthly Prices'!K18/MAX('Monthly Prices'!$K$5:'Monthly Prices'!K18)-1</f>
        <v/>
      </c>
    </row>
    <row r="19" ht="19" customHeight="1">
      <c r="A19" s="122" t="n">
        <v>45596</v>
      </c>
      <c r="B19" s="127">
        <f>'Monthly Prices'!B19/MAX('Monthly Prices'!$B$5:'Monthly Prices'!B19)-1</f>
        <v/>
      </c>
      <c r="C19" s="127">
        <f>'Monthly Prices'!C19/MAX('Monthly Prices'!$C$5:'Monthly Prices'!C19)-1</f>
        <v/>
      </c>
      <c r="D19" s="127">
        <f>'Monthly Prices'!D19/MAX('Monthly Prices'!$D$5:'Monthly Prices'!D19)-1</f>
        <v/>
      </c>
      <c r="E19" s="127">
        <f>'Monthly Prices'!E19/MAX('Monthly Prices'!$E$5:'Monthly Prices'!E19)-1</f>
        <v/>
      </c>
      <c r="F19" s="127">
        <f>'Monthly Prices'!F19/MAX('Monthly Prices'!$F$5:'Monthly Prices'!F19)-1</f>
        <v/>
      </c>
      <c r="G19" s="127">
        <f>'Monthly Prices'!G19/MAX('Monthly Prices'!$G$5:'Monthly Prices'!G19)-1</f>
        <v/>
      </c>
      <c r="H19" s="127">
        <f>'Monthly Prices'!H19/MAX('Monthly Prices'!$H$5:'Monthly Prices'!H19)-1</f>
        <v/>
      </c>
      <c r="I19" s="127">
        <f>'Monthly Prices'!I19/MAX('Monthly Prices'!$I$5:'Monthly Prices'!I19)-1</f>
        <v/>
      </c>
      <c r="J19" s="127">
        <f>'Monthly Prices'!J19/MAX('Monthly Prices'!$J$5:'Monthly Prices'!J19)-1</f>
        <v/>
      </c>
      <c r="K19" s="127">
        <f>'Monthly Prices'!K19/MAX('Monthly Prices'!$K$5:'Monthly Prices'!K19)-1</f>
        <v/>
      </c>
    </row>
    <row r="20" ht="19" customHeight="1">
      <c r="A20" s="124" t="n">
        <v>45626</v>
      </c>
      <c r="B20" s="129">
        <f>'Monthly Prices'!B20/MAX('Monthly Prices'!$B$5:'Monthly Prices'!B20)-1</f>
        <v/>
      </c>
      <c r="C20" s="129">
        <f>'Monthly Prices'!C20/MAX('Monthly Prices'!$C$5:'Monthly Prices'!C20)-1</f>
        <v/>
      </c>
      <c r="D20" s="129">
        <f>'Monthly Prices'!D20/MAX('Monthly Prices'!$D$5:'Monthly Prices'!D20)-1</f>
        <v/>
      </c>
      <c r="E20" s="129">
        <f>'Monthly Prices'!E20/MAX('Monthly Prices'!$E$5:'Monthly Prices'!E20)-1</f>
        <v/>
      </c>
      <c r="F20" s="129">
        <f>'Monthly Prices'!F20/MAX('Monthly Prices'!$F$5:'Monthly Prices'!F20)-1</f>
        <v/>
      </c>
      <c r="G20" s="129">
        <f>'Monthly Prices'!G20/MAX('Monthly Prices'!$G$5:'Monthly Prices'!G20)-1</f>
        <v/>
      </c>
      <c r="H20" s="129">
        <f>'Monthly Prices'!H20/MAX('Monthly Prices'!$H$5:'Monthly Prices'!H20)-1</f>
        <v/>
      </c>
      <c r="I20" s="129">
        <f>'Monthly Prices'!I20/MAX('Monthly Prices'!$I$5:'Monthly Prices'!I20)-1</f>
        <v/>
      </c>
      <c r="J20" s="129">
        <f>'Monthly Prices'!J20/MAX('Monthly Prices'!$J$5:'Monthly Prices'!J20)-1</f>
        <v/>
      </c>
      <c r="K20" s="129">
        <f>'Monthly Prices'!K20/MAX('Monthly Prices'!$K$5:'Monthly Prices'!K20)-1</f>
        <v/>
      </c>
    </row>
    <row r="21" ht="19" customHeight="1">
      <c r="A21" s="122" t="n">
        <v>45657</v>
      </c>
      <c r="B21" s="127">
        <f>'Monthly Prices'!B21/MAX('Monthly Prices'!$B$5:'Monthly Prices'!B21)-1</f>
        <v/>
      </c>
      <c r="C21" s="127">
        <f>'Monthly Prices'!C21/MAX('Monthly Prices'!$C$5:'Monthly Prices'!C21)-1</f>
        <v/>
      </c>
      <c r="D21" s="127">
        <f>'Monthly Prices'!D21/MAX('Monthly Prices'!$D$5:'Monthly Prices'!D21)-1</f>
        <v/>
      </c>
      <c r="E21" s="127">
        <f>'Monthly Prices'!E21/MAX('Monthly Prices'!$E$5:'Monthly Prices'!E21)-1</f>
        <v/>
      </c>
      <c r="F21" s="127">
        <f>'Monthly Prices'!F21/MAX('Monthly Prices'!$F$5:'Monthly Prices'!F21)-1</f>
        <v/>
      </c>
      <c r="G21" s="127">
        <f>'Monthly Prices'!G21/MAX('Monthly Prices'!$G$5:'Monthly Prices'!G21)-1</f>
        <v/>
      </c>
      <c r="H21" s="127">
        <f>'Monthly Prices'!H21/MAX('Monthly Prices'!$H$5:'Monthly Prices'!H21)-1</f>
        <v/>
      </c>
      <c r="I21" s="127">
        <f>'Monthly Prices'!I21/MAX('Monthly Prices'!$I$5:'Monthly Prices'!I21)-1</f>
        <v/>
      </c>
      <c r="J21" s="127">
        <f>'Monthly Prices'!J21/MAX('Monthly Prices'!$J$5:'Monthly Prices'!J21)-1</f>
        <v/>
      </c>
      <c r="K21" s="127">
        <f>'Monthly Prices'!K21/MAX('Monthly Prices'!$K$5:'Monthly Prices'!K21)-1</f>
        <v/>
      </c>
    </row>
    <row r="22" ht="19" customHeight="1">
      <c r="A22" s="124" t="n">
        <v>45688</v>
      </c>
      <c r="B22" s="129">
        <f>'Monthly Prices'!B22/MAX('Monthly Prices'!$B$5:'Monthly Prices'!B22)-1</f>
        <v/>
      </c>
      <c r="C22" s="129">
        <f>'Monthly Prices'!C22/MAX('Monthly Prices'!$C$5:'Monthly Prices'!C22)-1</f>
        <v/>
      </c>
      <c r="D22" s="129">
        <f>'Monthly Prices'!D22/MAX('Monthly Prices'!$D$5:'Monthly Prices'!D22)-1</f>
        <v/>
      </c>
      <c r="E22" s="129">
        <f>'Monthly Prices'!E22/MAX('Monthly Prices'!$E$5:'Monthly Prices'!E22)-1</f>
        <v/>
      </c>
      <c r="F22" s="129">
        <f>'Monthly Prices'!F22/MAX('Monthly Prices'!$F$5:'Monthly Prices'!F22)-1</f>
        <v/>
      </c>
      <c r="G22" s="129">
        <f>'Monthly Prices'!G22/MAX('Monthly Prices'!$G$5:'Monthly Prices'!G22)-1</f>
        <v/>
      </c>
      <c r="H22" s="129">
        <f>'Monthly Prices'!H22/MAX('Monthly Prices'!$H$5:'Monthly Prices'!H22)-1</f>
        <v/>
      </c>
      <c r="I22" s="129">
        <f>'Monthly Prices'!I22/MAX('Monthly Prices'!$I$5:'Monthly Prices'!I22)-1</f>
        <v/>
      </c>
      <c r="J22" s="129">
        <f>'Monthly Prices'!J22/MAX('Monthly Prices'!$J$5:'Monthly Prices'!J22)-1</f>
        <v/>
      </c>
      <c r="K22" s="129">
        <f>'Monthly Prices'!K22/MAX('Monthly Prices'!$K$5:'Monthly Prices'!K22)-1</f>
        <v/>
      </c>
    </row>
    <row r="23" ht="19" customHeight="1">
      <c r="A23" s="122" t="n">
        <v>45716</v>
      </c>
      <c r="B23" s="127">
        <f>'Monthly Prices'!B23/MAX('Monthly Prices'!$B$5:'Monthly Prices'!B23)-1</f>
        <v/>
      </c>
      <c r="C23" s="127">
        <f>'Monthly Prices'!C23/MAX('Monthly Prices'!$C$5:'Monthly Prices'!C23)-1</f>
        <v/>
      </c>
      <c r="D23" s="127">
        <f>'Monthly Prices'!D23/MAX('Monthly Prices'!$D$5:'Monthly Prices'!D23)-1</f>
        <v/>
      </c>
      <c r="E23" s="127">
        <f>'Monthly Prices'!E23/MAX('Monthly Prices'!$E$5:'Monthly Prices'!E23)-1</f>
        <v/>
      </c>
      <c r="F23" s="127">
        <f>'Monthly Prices'!F23/MAX('Monthly Prices'!$F$5:'Monthly Prices'!F23)-1</f>
        <v/>
      </c>
      <c r="G23" s="127">
        <f>'Monthly Prices'!G23/MAX('Monthly Prices'!$G$5:'Monthly Prices'!G23)-1</f>
        <v/>
      </c>
      <c r="H23" s="127">
        <f>'Monthly Prices'!H23/MAX('Monthly Prices'!$H$5:'Monthly Prices'!H23)-1</f>
        <v/>
      </c>
      <c r="I23" s="127">
        <f>'Monthly Prices'!I23/MAX('Monthly Prices'!$I$5:'Monthly Prices'!I23)-1</f>
        <v/>
      </c>
      <c r="J23" s="127">
        <f>'Monthly Prices'!J23/MAX('Monthly Prices'!$J$5:'Monthly Prices'!J23)-1</f>
        <v/>
      </c>
      <c r="K23" s="127">
        <f>'Monthly Prices'!K23/MAX('Monthly Prices'!$K$5:'Monthly Prices'!K23)-1</f>
        <v/>
      </c>
    </row>
    <row r="24" ht="19" customHeight="1">
      <c r="A24" s="124" t="n">
        <v>45747</v>
      </c>
      <c r="B24" s="129">
        <f>'Monthly Prices'!B24/MAX('Monthly Prices'!$B$5:'Monthly Prices'!B24)-1</f>
        <v/>
      </c>
      <c r="C24" s="129">
        <f>'Monthly Prices'!C24/MAX('Monthly Prices'!$C$5:'Monthly Prices'!C24)-1</f>
        <v/>
      </c>
      <c r="D24" s="129">
        <f>'Monthly Prices'!D24/MAX('Monthly Prices'!$D$5:'Monthly Prices'!D24)-1</f>
        <v/>
      </c>
      <c r="E24" s="129">
        <f>'Monthly Prices'!E24/MAX('Monthly Prices'!$E$5:'Monthly Prices'!E24)-1</f>
        <v/>
      </c>
      <c r="F24" s="129">
        <f>'Monthly Prices'!F24/MAX('Monthly Prices'!$F$5:'Monthly Prices'!F24)-1</f>
        <v/>
      </c>
      <c r="G24" s="129">
        <f>'Monthly Prices'!G24/MAX('Monthly Prices'!$G$5:'Monthly Prices'!G24)-1</f>
        <v/>
      </c>
      <c r="H24" s="129">
        <f>'Monthly Prices'!H24/MAX('Monthly Prices'!$H$5:'Monthly Prices'!H24)-1</f>
        <v/>
      </c>
      <c r="I24" s="129">
        <f>'Monthly Prices'!I24/MAX('Monthly Prices'!$I$5:'Monthly Prices'!I24)-1</f>
        <v/>
      </c>
      <c r="J24" s="129">
        <f>'Monthly Prices'!J24/MAX('Monthly Prices'!$J$5:'Monthly Prices'!J24)-1</f>
        <v/>
      </c>
      <c r="K24" s="129">
        <f>'Monthly Prices'!K24/MAX('Monthly Prices'!$K$5:'Monthly Prices'!K24)-1</f>
        <v/>
      </c>
    </row>
    <row r="25" ht="19" customHeight="1">
      <c r="A25" s="122" t="n">
        <v>45777</v>
      </c>
      <c r="B25" s="127">
        <f>'Monthly Prices'!B25/MAX('Monthly Prices'!$B$5:'Monthly Prices'!B25)-1</f>
        <v/>
      </c>
      <c r="C25" s="127">
        <f>'Monthly Prices'!C25/MAX('Monthly Prices'!$C$5:'Monthly Prices'!C25)-1</f>
        <v/>
      </c>
      <c r="D25" s="127">
        <f>'Monthly Prices'!D25/MAX('Monthly Prices'!$D$5:'Monthly Prices'!D25)-1</f>
        <v/>
      </c>
      <c r="E25" s="127">
        <f>'Monthly Prices'!E25/MAX('Monthly Prices'!$E$5:'Monthly Prices'!E25)-1</f>
        <v/>
      </c>
      <c r="F25" s="127">
        <f>'Monthly Prices'!F25/MAX('Monthly Prices'!$F$5:'Monthly Prices'!F25)-1</f>
        <v/>
      </c>
      <c r="G25" s="127">
        <f>'Monthly Prices'!G25/MAX('Monthly Prices'!$G$5:'Monthly Prices'!G25)-1</f>
        <v/>
      </c>
      <c r="H25" s="127">
        <f>'Monthly Prices'!H25/MAX('Monthly Prices'!$H$5:'Monthly Prices'!H25)-1</f>
        <v/>
      </c>
      <c r="I25" s="127">
        <f>'Monthly Prices'!I25/MAX('Monthly Prices'!$I$5:'Monthly Prices'!I25)-1</f>
        <v/>
      </c>
      <c r="J25" s="127">
        <f>'Monthly Prices'!J25/MAX('Monthly Prices'!$J$5:'Monthly Prices'!J25)-1</f>
        <v/>
      </c>
      <c r="K25" s="127">
        <f>'Monthly Prices'!K25/MAX('Monthly Prices'!$K$5:'Monthly Prices'!K25)-1</f>
        <v/>
      </c>
    </row>
    <row r="26" ht="19" customHeight="1">
      <c r="A26" s="124" t="n">
        <v>45808</v>
      </c>
      <c r="B26" s="129">
        <f>'Monthly Prices'!B26/MAX('Monthly Prices'!$B$5:'Monthly Prices'!B26)-1</f>
        <v/>
      </c>
      <c r="C26" s="129">
        <f>'Monthly Prices'!C26/MAX('Monthly Prices'!$C$5:'Monthly Prices'!C26)-1</f>
        <v/>
      </c>
      <c r="D26" s="129">
        <f>'Monthly Prices'!D26/MAX('Monthly Prices'!$D$5:'Monthly Prices'!D26)-1</f>
        <v/>
      </c>
      <c r="E26" s="129">
        <f>'Monthly Prices'!E26/MAX('Monthly Prices'!$E$5:'Monthly Prices'!E26)-1</f>
        <v/>
      </c>
      <c r="F26" s="129">
        <f>'Monthly Prices'!F26/MAX('Monthly Prices'!$F$5:'Monthly Prices'!F26)-1</f>
        <v/>
      </c>
      <c r="G26" s="129">
        <f>'Monthly Prices'!G26/MAX('Monthly Prices'!$G$5:'Monthly Prices'!G26)-1</f>
        <v/>
      </c>
      <c r="H26" s="129">
        <f>'Monthly Prices'!H26/MAX('Monthly Prices'!$H$5:'Monthly Prices'!H26)-1</f>
        <v/>
      </c>
      <c r="I26" s="129">
        <f>'Monthly Prices'!I26/MAX('Monthly Prices'!$I$5:'Monthly Prices'!I26)-1</f>
        <v/>
      </c>
      <c r="J26" s="129">
        <f>'Monthly Prices'!J26/MAX('Monthly Prices'!$J$5:'Monthly Prices'!J26)-1</f>
        <v/>
      </c>
      <c r="K26" s="129">
        <f>'Monthly Prices'!K26/MAX('Monthly Prices'!$K$5:'Monthly Prices'!K26)-1</f>
        <v/>
      </c>
    </row>
    <row r="27" ht="19" customHeight="1">
      <c r="A27" s="122" t="n">
        <v>45838</v>
      </c>
      <c r="B27" s="127">
        <f>'Monthly Prices'!B27/MAX('Monthly Prices'!$B$5:'Monthly Prices'!B27)-1</f>
        <v/>
      </c>
      <c r="C27" s="127">
        <f>'Monthly Prices'!C27/MAX('Monthly Prices'!$C$5:'Monthly Prices'!C27)-1</f>
        <v/>
      </c>
      <c r="D27" s="127">
        <f>'Monthly Prices'!D27/MAX('Monthly Prices'!$D$5:'Monthly Prices'!D27)-1</f>
        <v/>
      </c>
      <c r="E27" s="127">
        <f>'Monthly Prices'!E27/MAX('Monthly Prices'!$E$5:'Monthly Prices'!E27)-1</f>
        <v/>
      </c>
      <c r="F27" s="127">
        <f>'Monthly Prices'!F27/MAX('Monthly Prices'!$F$5:'Monthly Prices'!F27)-1</f>
        <v/>
      </c>
      <c r="G27" s="127">
        <f>'Monthly Prices'!G27/MAX('Monthly Prices'!$G$5:'Monthly Prices'!G27)-1</f>
        <v/>
      </c>
      <c r="H27" s="127">
        <f>'Monthly Prices'!H27/MAX('Monthly Prices'!$H$5:'Monthly Prices'!H27)-1</f>
        <v/>
      </c>
      <c r="I27" s="127">
        <f>'Monthly Prices'!I27/MAX('Monthly Prices'!$I$5:'Monthly Prices'!I27)-1</f>
        <v/>
      </c>
      <c r="J27" s="127">
        <f>'Monthly Prices'!J27/MAX('Monthly Prices'!$J$5:'Monthly Prices'!J27)-1</f>
        <v/>
      </c>
      <c r="K27" s="127">
        <f>'Monthly Prices'!K27/MAX('Monthly Prices'!$K$5:'Monthly Prices'!K27)-1</f>
        <v/>
      </c>
    </row>
    <row r="28" ht="19" customHeight="1">
      <c r="A28" s="124" t="n">
        <v>45869</v>
      </c>
      <c r="B28" s="129">
        <f>'Monthly Prices'!B28/MAX('Monthly Prices'!$B$5:'Monthly Prices'!B28)-1</f>
        <v/>
      </c>
      <c r="C28" s="129">
        <f>'Monthly Prices'!C28/MAX('Monthly Prices'!$C$5:'Monthly Prices'!C28)-1</f>
        <v/>
      </c>
      <c r="D28" s="129">
        <f>'Monthly Prices'!D28/MAX('Monthly Prices'!$D$5:'Monthly Prices'!D28)-1</f>
        <v/>
      </c>
      <c r="E28" s="129">
        <f>'Monthly Prices'!E28/MAX('Monthly Prices'!$E$5:'Monthly Prices'!E28)-1</f>
        <v/>
      </c>
      <c r="F28" s="129">
        <f>'Monthly Prices'!F28/MAX('Monthly Prices'!$F$5:'Monthly Prices'!F28)-1</f>
        <v/>
      </c>
      <c r="G28" s="129">
        <f>'Monthly Prices'!G28/MAX('Monthly Prices'!$G$5:'Monthly Prices'!G28)-1</f>
        <v/>
      </c>
      <c r="H28" s="129">
        <f>'Monthly Prices'!H28/MAX('Monthly Prices'!$H$5:'Monthly Prices'!H28)-1</f>
        <v/>
      </c>
      <c r="I28" s="129">
        <f>'Monthly Prices'!I28/MAX('Monthly Prices'!$I$5:'Monthly Prices'!I28)-1</f>
        <v/>
      </c>
      <c r="J28" s="129">
        <f>'Monthly Prices'!J28/MAX('Monthly Prices'!$J$5:'Monthly Prices'!J28)-1</f>
        <v/>
      </c>
      <c r="K28" s="129">
        <f>'Monthly Prices'!K28/MAX('Monthly Prices'!$K$5:'Monthly Prices'!K28)-1</f>
        <v/>
      </c>
    </row>
    <row r="29" ht="19" customHeight="1">
      <c r="A29" s="122" t="n">
        <v>45900</v>
      </c>
      <c r="B29" s="127">
        <f>'Monthly Prices'!B29/MAX('Monthly Prices'!$B$5:'Monthly Prices'!B29)-1</f>
        <v/>
      </c>
      <c r="C29" s="127">
        <f>'Monthly Prices'!C29/MAX('Monthly Prices'!$C$5:'Monthly Prices'!C29)-1</f>
        <v/>
      </c>
      <c r="D29" s="127">
        <f>'Monthly Prices'!D29/MAX('Monthly Prices'!$D$5:'Monthly Prices'!D29)-1</f>
        <v/>
      </c>
      <c r="E29" s="127">
        <f>'Monthly Prices'!E29/MAX('Monthly Prices'!$E$5:'Monthly Prices'!E29)-1</f>
        <v/>
      </c>
      <c r="F29" s="127">
        <f>'Monthly Prices'!F29/MAX('Monthly Prices'!$F$5:'Monthly Prices'!F29)-1</f>
        <v/>
      </c>
      <c r="G29" s="127">
        <f>'Monthly Prices'!G29/MAX('Monthly Prices'!$G$5:'Monthly Prices'!G29)-1</f>
        <v/>
      </c>
      <c r="H29" s="127">
        <f>'Monthly Prices'!H29/MAX('Monthly Prices'!$H$5:'Monthly Prices'!H29)-1</f>
        <v/>
      </c>
      <c r="I29" s="127">
        <f>'Monthly Prices'!I29/MAX('Monthly Prices'!$I$5:'Monthly Prices'!I29)-1</f>
        <v/>
      </c>
      <c r="J29" s="127">
        <f>'Monthly Prices'!J29/MAX('Monthly Prices'!$J$5:'Monthly Prices'!J29)-1</f>
        <v/>
      </c>
      <c r="K29" s="127">
        <f>'Monthly Prices'!K29/MAX('Monthly Prices'!$K$5:'Monthly Prices'!K29)-1</f>
        <v/>
      </c>
    </row>
    <row r="30" ht="19" customHeight="1">
      <c r="A30" s="124" t="n">
        <v>45930</v>
      </c>
      <c r="B30" s="129">
        <f>'Monthly Prices'!B30/MAX('Monthly Prices'!$B$5:'Monthly Prices'!B30)-1</f>
        <v/>
      </c>
      <c r="C30" s="129">
        <f>'Monthly Prices'!C30/MAX('Monthly Prices'!$C$5:'Monthly Prices'!C30)-1</f>
        <v/>
      </c>
      <c r="D30" s="129">
        <f>'Monthly Prices'!D30/MAX('Monthly Prices'!$D$5:'Monthly Prices'!D30)-1</f>
        <v/>
      </c>
      <c r="E30" s="129">
        <f>'Monthly Prices'!E30/MAX('Monthly Prices'!$E$5:'Monthly Prices'!E30)-1</f>
        <v/>
      </c>
      <c r="F30" s="129">
        <f>'Monthly Prices'!F30/MAX('Monthly Prices'!$F$5:'Monthly Prices'!F30)-1</f>
        <v/>
      </c>
      <c r="G30" s="129">
        <f>'Monthly Prices'!G30/MAX('Monthly Prices'!$G$5:'Monthly Prices'!G30)-1</f>
        <v/>
      </c>
      <c r="H30" s="129">
        <f>'Monthly Prices'!H30/MAX('Monthly Prices'!$H$5:'Monthly Prices'!H30)-1</f>
        <v/>
      </c>
      <c r="I30" s="129">
        <f>'Monthly Prices'!I30/MAX('Monthly Prices'!$I$5:'Monthly Prices'!I30)-1</f>
        <v/>
      </c>
      <c r="J30" s="129">
        <f>'Monthly Prices'!J30/MAX('Monthly Prices'!$J$5:'Monthly Prices'!J30)-1</f>
        <v/>
      </c>
      <c r="K30" s="129">
        <f>'Monthly Prices'!K30/MAX('Monthly Prices'!$K$5:'Monthly Prices'!K30)-1</f>
        <v/>
      </c>
    </row>
    <row r="31" ht="19" customHeight="1">
      <c r="A31" s="122" t="n">
        <v>45961</v>
      </c>
      <c r="B31" s="127">
        <f>'Monthly Prices'!B31/MAX('Monthly Prices'!$B$5:'Monthly Prices'!B31)-1</f>
        <v/>
      </c>
      <c r="C31" s="127">
        <f>'Monthly Prices'!C31/MAX('Monthly Prices'!$C$5:'Monthly Prices'!C31)-1</f>
        <v/>
      </c>
      <c r="D31" s="127">
        <f>'Monthly Prices'!D31/MAX('Monthly Prices'!$D$5:'Monthly Prices'!D31)-1</f>
        <v/>
      </c>
      <c r="E31" s="127">
        <f>'Monthly Prices'!E31/MAX('Monthly Prices'!$E$5:'Monthly Prices'!E31)-1</f>
        <v/>
      </c>
      <c r="F31" s="127">
        <f>'Monthly Prices'!F31/MAX('Monthly Prices'!$F$5:'Monthly Prices'!F31)-1</f>
        <v/>
      </c>
      <c r="G31" s="127">
        <f>'Monthly Prices'!G31/MAX('Monthly Prices'!$G$5:'Monthly Prices'!G31)-1</f>
        <v/>
      </c>
      <c r="H31" s="127">
        <f>'Monthly Prices'!H31/MAX('Monthly Prices'!$H$5:'Monthly Prices'!H31)-1</f>
        <v/>
      </c>
      <c r="I31" s="127">
        <f>'Monthly Prices'!I31/MAX('Monthly Prices'!$I$5:'Monthly Prices'!I31)-1</f>
        <v/>
      </c>
      <c r="J31" s="127">
        <f>'Monthly Prices'!J31/MAX('Monthly Prices'!$J$5:'Monthly Prices'!J31)-1</f>
        <v/>
      </c>
      <c r="K31" s="127">
        <f>'Monthly Prices'!K31/MAX('Monthly Prices'!$K$5:'Monthly Prices'!K31)-1</f>
        <v/>
      </c>
    </row>
    <row r="32" ht="19" customHeight="1">
      <c r="A32" s="124" t="n">
        <v>45991</v>
      </c>
      <c r="B32" s="129">
        <f>'Monthly Prices'!B32/MAX('Monthly Prices'!$B$5:'Monthly Prices'!B32)-1</f>
        <v/>
      </c>
      <c r="C32" s="129">
        <f>'Monthly Prices'!C32/MAX('Monthly Prices'!$C$5:'Monthly Prices'!C32)-1</f>
        <v/>
      </c>
      <c r="D32" s="129">
        <f>'Monthly Prices'!D32/MAX('Monthly Prices'!$D$5:'Monthly Prices'!D32)-1</f>
        <v/>
      </c>
      <c r="E32" s="129">
        <f>'Monthly Prices'!E32/MAX('Monthly Prices'!$E$5:'Monthly Prices'!E32)-1</f>
        <v/>
      </c>
      <c r="F32" s="129">
        <f>'Monthly Prices'!F32/MAX('Monthly Prices'!$F$5:'Monthly Prices'!F32)-1</f>
        <v/>
      </c>
      <c r="G32" s="129">
        <f>'Monthly Prices'!G32/MAX('Monthly Prices'!$G$5:'Monthly Prices'!G32)-1</f>
        <v/>
      </c>
      <c r="H32" s="129">
        <f>'Monthly Prices'!H32/MAX('Monthly Prices'!$H$5:'Monthly Prices'!H32)-1</f>
        <v/>
      </c>
      <c r="I32" s="129">
        <f>'Monthly Prices'!I32/MAX('Monthly Prices'!$I$5:'Monthly Prices'!I32)-1</f>
        <v/>
      </c>
      <c r="J32" s="129">
        <f>'Monthly Prices'!J32/MAX('Monthly Prices'!$J$5:'Monthly Prices'!J32)-1</f>
        <v/>
      </c>
      <c r="K32" s="129">
        <f>'Monthly Prices'!K32/MAX('Monthly Prices'!$K$5:'Monthly Prices'!K32)-1</f>
        <v/>
      </c>
    </row>
    <row r="33" ht="19" customHeight="1">
      <c r="A33" s="122" t="n">
        <v>46022</v>
      </c>
      <c r="B33" s="127">
        <f>'Monthly Prices'!B33/MAX('Monthly Prices'!$B$5:'Monthly Prices'!B33)-1</f>
        <v/>
      </c>
      <c r="C33" s="127">
        <f>'Monthly Prices'!C33/MAX('Monthly Prices'!$C$5:'Monthly Prices'!C33)-1</f>
        <v/>
      </c>
      <c r="D33" s="127">
        <f>'Monthly Prices'!D33/MAX('Monthly Prices'!$D$5:'Monthly Prices'!D33)-1</f>
        <v/>
      </c>
      <c r="E33" s="127">
        <f>'Monthly Prices'!E33/MAX('Monthly Prices'!$E$5:'Monthly Prices'!E33)-1</f>
        <v/>
      </c>
      <c r="F33" s="127">
        <f>'Monthly Prices'!F33/MAX('Monthly Prices'!$F$5:'Monthly Prices'!F33)-1</f>
        <v/>
      </c>
      <c r="G33" s="127">
        <f>'Monthly Prices'!G33/MAX('Monthly Prices'!$G$5:'Monthly Prices'!G33)-1</f>
        <v/>
      </c>
      <c r="H33" s="127">
        <f>'Monthly Prices'!H33/MAX('Monthly Prices'!$H$5:'Monthly Prices'!H33)-1</f>
        <v/>
      </c>
      <c r="I33" s="127">
        <f>'Monthly Prices'!I33/MAX('Monthly Prices'!$I$5:'Monthly Prices'!I33)-1</f>
        <v/>
      </c>
      <c r="J33" s="127">
        <f>'Monthly Prices'!J33/MAX('Monthly Prices'!$J$5:'Monthly Prices'!J33)-1</f>
        <v/>
      </c>
      <c r="K33" s="127">
        <f>'Monthly Prices'!K33/MAX('Monthly Prices'!$K$5:'Monthly Prices'!K33)-1</f>
        <v/>
      </c>
    </row>
    <row r="34" ht="19" customHeight="1">
      <c r="A34" s="124" t="n">
        <v>46053</v>
      </c>
      <c r="B34" s="129">
        <f>'Monthly Prices'!B34/MAX('Monthly Prices'!$B$5:'Monthly Prices'!B34)-1</f>
        <v/>
      </c>
      <c r="C34" s="129">
        <f>'Monthly Prices'!C34/MAX('Monthly Prices'!$C$5:'Monthly Prices'!C34)-1</f>
        <v/>
      </c>
      <c r="D34" s="129">
        <f>'Monthly Prices'!D34/MAX('Monthly Prices'!$D$5:'Monthly Prices'!D34)-1</f>
        <v/>
      </c>
      <c r="E34" s="129">
        <f>'Monthly Prices'!E34/MAX('Monthly Prices'!$E$5:'Monthly Prices'!E34)-1</f>
        <v/>
      </c>
      <c r="F34" s="129">
        <f>'Monthly Prices'!F34/MAX('Monthly Prices'!$F$5:'Monthly Prices'!F34)-1</f>
        <v/>
      </c>
      <c r="G34" s="129">
        <f>'Monthly Prices'!G34/MAX('Monthly Prices'!$G$5:'Monthly Prices'!G34)-1</f>
        <v/>
      </c>
      <c r="H34" s="129">
        <f>'Monthly Prices'!H34/MAX('Monthly Prices'!$H$5:'Monthly Prices'!H34)-1</f>
        <v/>
      </c>
      <c r="I34" s="129">
        <f>'Monthly Prices'!I34/MAX('Monthly Prices'!$I$5:'Monthly Prices'!I34)-1</f>
        <v/>
      </c>
      <c r="J34" s="129">
        <f>'Monthly Prices'!J34/MAX('Monthly Prices'!$J$5:'Monthly Prices'!J34)-1</f>
        <v/>
      </c>
      <c r="K34" s="129">
        <f>'Monthly Prices'!K34/MAX('Monthly Prices'!$K$5:'Monthly Prices'!K34)-1</f>
        <v/>
      </c>
    </row>
    <row r="35" ht="19" customHeight="1">
      <c r="A35" s="122" t="n">
        <v>46081</v>
      </c>
      <c r="B35" s="127">
        <f>'Monthly Prices'!B35/MAX('Monthly Prices'!$B$5:'Monthly Prices'!B35)-1</f>
        <v/>
      </c>
      <c r="C35" s="127">
        <f>'Monthly Prices'!C35/MAX('Monthly Prices'!$C$5:'Monthly Prices'!C35)-1</f>
        <v/>
      </c>
      <c r="D35" s="127">
        <f>'Monthly Prices'!D35/MAX('Monthly Prices'!$D$5:'Monthly Prices'!D35)-1</f>
        <v/>
      </c>
      <c r="E35" s="127">
        <f>'Monthly Prices'!E35/MAX('Monthly Prices'!$E$5:'Monthly Prices'!E35)-1</f>
        <v/>
      </c>
      <c r="F35" s="127">
        <f>'Monthly Prices'!F35/MAX('Monthly Prices'!$F$5:'Monthly Prices'!F35)-1</f>
        <v/>
      </c>
      <c r="G35" s="127">
        <f>'Monthly Prices'!G35/MAX('Monthly Prices'!$G$5:'Monthly Prices'!G35)-1</f>
        <v/>
      </c>
      <c r="H35" s="127">
        <f>'Monthly Prices'!H35/MAX('Monthly Prices'!$H$5:'Monthly Prices'!H35)-1</f>
        <v/>
      </c>
      <c r="I35" s="127">
        <f>'Monthly Prices'!I35/MAX('Monthly Prices'!$I$5:'Monthly Prices'!I35)-1</f>
        <v/>
      </c>
      <c r="J35" s="127">
        <f>'Monthly Prices'!J35/MAX('Monthly Prices'!$J$5:'Monthly Prices'!J35)-1</f>
        <v/>
      </c>
      <c r="K35" s="127">
        <f>'Monthly Prices'!K35/MAX('Monthly Prices'!$K$5:'Monthly Prices'!K35)-1</f>
        <v/>
      </c>
    </row>
    <row r="36" ht="19" customHeight="1">
      <c r="A36" s="124" t="n">
        <v>46112</v>
      </c>
      <c r="B36" s="129">
        <f>'Monthly Prices'!B36/MAX('Monthly Prices'!$B$5:'Monthly Prices'!B36)-1</f>
        <v/>
      </c>
      <c r="C36" s="129">
        <f>'Monthly Prices'!C36/MAX('Monthly Prices'!$C$5:'Monthly Prices'!C36)-1</f>
        <v/>
      </c>
      <c r="D36" s="129">
        <f>'Monthly Prices'!D36/MAX('Monthly Prices'!$D$5:'Monthly Prices'!D36)-1</f>
        <v/>
      </c>
      <c r="E36" s="129">
        <f>'Monthly Prices'!E36/MAX('Monthly Prices'!$E$5:'Monthly Prices'!E36)-1</f>
        <v/>
      </c>
      <c r="F36" s="129">
        <f>'Monthly Prices'!F36/MAX('Monthly Prices'!$F$5:'Monthly Prices'!F36)-1</f>
        <v/>
      </c>
      <c r="G36" s="129">
        <f>'Monthly Prices'!G36/MAX('Monthly Prices'!$G$5:'Monthly Prices'!G36)-1</f>
        <v/>
      </c>
      <c r="H36" s="129">
        <f>'Monthly Prices'!H36/MAX('Monthly Prices'!$H$5:'Monthly Prices'!H36)-1</f>
        <v/>
      </c>
      <c r="I36" s="129">
        <f>'Monthly Prices'!I36/MAX('Monthly Prices'!$I$5:'Monthly Prices'!I36)-1</f>
        <v/>
      </c>
      <c r="J36" s="129">
        <f>'Monthly Prices'!J36/MAX('Monthly Prices'!$J$5:'Monthly Prices'!J36)-1</f>
        <v/>
      </c>
      <c r="K36" s="129">
        <f>'Monthly Prices'!K36/MAX('Monthly Prices'!$K$5:'Monthly Prices'!K36)-1</f>
        <v/>
      </c>
    </row>
    <row r="37" ht="19" customHeight="1">
      <c r="A37" s="122" t="n">
        <v>46142</v>
      </c>
      <c r="B37" s="127">
        <f>'Monthly Prices'!B37/MAX('Monthly Prices'!$B$5:'Monthly Prices'!B37)-1</f>
        <v/>
      </c>
      <c r="C37" s="127">
        <f>'Monthly Prices'!C37/MAX('Monthly Prices'!$C$5:'Monthly Prices'!C37)-1</f>
        <v/>
      </c>
      <c r="D37" s="127">
        <f>'Monthly Prices'!D37/MAX('Monthly Prices'!$D$5:'Monthly Prices'!D37)-1</f>
        <v/>
      </c>
      <c r="E37" s="127">
        <f>'Monthly Prices'!E37/MAX('Monthly Prices'!$E$5:'Monthly Prices'!E37)-1</f>
        <v/>
      </c>
      <c r="F37" s="127">
        <f>'Monthly Prices'!F37/MAX('Monthly Prices'!$F$5:'Monthly Prices'!F37)-1</f>
        <v/>
      </c>
      <c r="G37" s="127">
        <f>'Monthly Prices'!G37/MAX('Monthly Prices'!$G$5:'Monthly Prices'!G37)-1</f>
        <v/>
      </c>
      <c r="H37" s="127">
        <f>'Monthly Prices'!H37/MAX('Monthly Prices'!$H$5:'Monthly Prices'!H37)-1</f>
        <v/>
      </c>
      <c r="I37" s="127">
        <f>'Monthly Prices'!I37/MAX('Monthly Prices'!$I$5:'Monthly Prices'!I37)-1</f>
        <v/>
      </c>
      <c r="J37" s="127">
        <f>'Monthly Prices'!J37/MAX('Monthly Prices'!$J$5:'Monthly Prices'!J37)-1</f>
        <v/>
      </c>
      <c r="K37" s="127">
        <f>'Monthly Prices'!K37/MAX('Monthly Prices'!$K$5:'Monthly Prices'!K37)-1</f>
        <v/>
      </c>
    </row>
    <row r="38" ht="19" customHeight="1">
      <c r="A38" s="124" t="n">
        <v>46173</v>
      </c>
      <c r="B38" s="129">
        <f>'Monthly Prices'!B38/MAX('Monthly Prices'!$B$5:'Monthly Prices'!B38)-1</f>
        <v/>
      </c>
      <c r="C38" s="129">
        <f>'Monthly Prices'!C38/MAX('Monthly Prices'!$C$5:'Monthly Prices'!C38)-1</f>
        <v/>
      </c>
      <c r="D38" s="129">
        <f>'Monthly Prices'!D38/MAX('Monthly Prices'!$D$5:'Monthly Prices'!D38)-1</f>
        <v/>
      </c>
      <c r="E38" s="129">
        <f>'Monthly Prices'!E38/MAX('Monthly Prices'!$E$5:'Monthly Prices'!E38)-1</f>
        <v/>
      </c>
      <c r="F38" s="129">
        <f>'Monthly Prices'!F38/MAX('Monthly Prices'!$F$5:'Monthly Prices'!F38)-1</f>
        <v/>
      </c>
      <c r="G38" s="129">
        <f>'Monthly Prices'!G38/MAX('Monthly Prices'!$G$5:'Monthly Prices'!G38)-1</f>
        <v/>
      </c>
      <c r="H38" s="129">
        <f>'Monthly Prices'!H38/MAX('Monthly Prices'!$H$5:'Monthly Prices'!H38)-1</f>
        <v/>
      </c>
      <c r="I38" s="129">
        <f>'Monthly Prices'!I38/MAX('Monthly Prices'!$I$5:'Monthly Prices'!I38)-1</f>
        <v/>
      </c>
      <c r="J38" s="129">
        <f>'Monthly Prices'!J38/MAX('Monthly Prices'!$J$5:'Monthly Prices'!J38)-1</f>
        <v/>
      </c>
      <c r="K38" s="129">
        <f>'Monthly Prices'!K38/MAX('Monthly Prices'!$K$5:'Monthly Prices'!K38)-1</f>
        <v/>
      </c>
    </row>
    <row r="39" ht="19" customHeight="1">
      <c r="A39" s="122" t="n">
        <v>46203</v>
      </c>
      <c r="B39" s="127">
        <f>'Monthly Prices'!B39/MAX('Monthly Prices'!$B$5:'Monthly Prices'!B39)-1</f>
        <v/>
      </c>
      <c r="C39" s="127">
        <f>'Monthly Prices'!C39/MAX('Monthly Prices'!$C$5:'Monthly Prices'!C39)-1</f>
        <v/>
      </c>
      <c r="D39" s="127">
        <f>'Monthly Prices'!D39/MAX('Monthly Prices'!$D$5:'Monthly Prices'!D39)-1</f>
        <v/>
      </c>
      <c r="E39" s="127">
        <f>'Monthly Prices'!E39/MAX('Monthly Prices'!$E$5:'Monthly Prices'!E39)-1</f>
        <v/>
      </c>
      <c r="F39" s="127">
        <f>'Monthly Prices'!F39/MAX('Monthly Prices'!$F$5:'Monthly Prices'!F39)-1</f>
        <v/>
      </c>
      <c r="G39" s="127">
        <f>'Monthly Prices'!G39/MAX('Monthly Prices'!$G$5:'Monthly Prices'!G39)-1</f>
        <v/>
      </c>
      <c r="H39" s="127">
        <f>'Monthly Prices'!H39/MAX('Monthly Prices'!$H$5:'Monthly Prices'!H39)-1</f>
        <v/>
      </c>
      <c r="I39" s="127">
        <f>'Monthly Prices'!I39/MAX('Monthly Prices'!$I$5:'Monthly Prices'!I39)-1</f>
        <v/>
      </c>
      <c r="J39" s="127">
        <f>'Monthly Prices'!J39/MAX('Monthly Prices'!$J$5:'Monthly Prices'!J39)-1</f>
        <v/>
      </c>
      <c r="K39" s="127">
        <f>'Monthly Prices'!K39/MAX('Monthly Prices'!$K$5:'Monthly Prices'!K39)-1</f>
        <v/>
      </c>
    </row>
    <row r="40" ht="19" customHeight="1">
      <c r="A40" s="124" t="n">
        <v>46234</v>
      </c>
      <c r="B40" s="129">
        <f>'Monthly Prices'!B40/MAX('Monthly Prices'!$B$5:'Monthly Prices'!B40)-1</f>
        <v/>
      </c>
      <c r="C40" s="129">
        <f>'Monthly Prices'!C40/MAX('Monthly Prices'!$C$5:'Monthly Prices'!C40)-1</f>
        <v/>
      </c>
      <c r="D40" s="129">
        <f>'Monthly Prices'!D40/MAX('Monthly Prices'!$D$5:'Monthly Prices'!D40)-1</f>
        <v/>
      </c>
      <c r="E40" s="129">
        <f>'Monthly Prices'!E40/MAX('Monthly Prices'!$E$5:'Monthly Prices'!E40)-1</f>
        <v/>
      </c>
      <c r="F40" s="129">
        <f>'Monthly Prices'!F40/MAX('Monthly Prices'!$F$5:'Monthly Prices'!F40)-1</f>
        <v/>
      </c>
      <c r="G40" s="129">
        <f>'Monthly Prices'!G40/MAX('Monthly Prices'!$G$5:'Monthly Prices'!G40)-1</f>
        <v/>
      </c>
      <c r="H40" s="129">
        <f>'Monthly Prices'!H40/MAX('Monthly Prices'!$H$5:'Monthly Prices'!H40)-1</f>
        <v/>
      </c>
      <c r="I40" s="129">
        <f>'Monthly Prices'!I40/MAX('Monthly Prices'!$I$5:'Monthly Prices'!I40)-1</f>
        <v/>
      </c>
      <c r="J40" s="129">
        <f>'Monthly Prices'!J40/MAX('Monthly Prices'!$J$5:'Monthly Prices'!J40)-1</f>
        <v/>
      </c>
      <c r="K40" s="129">
        <f>'Monthly Prices'!K40/MAX('Monthly Prices'!$K$5:'Monthly Prices'!K40)-1</f>
        <v/>
      </c>
    </row>
    <row r="41" ht="19" customHeight="1">
      <c r="A41" s="122" t="n">
        <v>46265</v>
      </c>
      <c r="B41" s="127">
        <f>'Monthly Prices'!B41/MAX('Monthly Prices'!$B$5:'Monthly Prices'!B41)-1</f>
        <v/>
      </c>
      <c r="C41" s="127">
        <f>'Monthly Prices'!C41/MAX('Monthly Prices'!$C$5:'Monthly Prices'!C41)-1</f>
        <v/>
      </c>
      <c r="D41" s="127">
        <f>'Monthly Prices'!D41/MAX('Monthly Prices'!$D$5:'Monthly Prices'!D41)-1</f>
        <v/>
      </c>
      <c r="E41" s="127">
        <f>'Monthly Prices'!E41/MAX('Monthly Prices'!$E$5:'Monthly Prices'!E41)-1</f>
        <v/>
      </c>
      <c r="F41" s="127">
        <f>'Monthly Prices'!F41/MAX('Monthly Prices'!$F$5:'Monthly Prices'!F41)-1</f>
        <v/>
      </c>
      <c r="G41" s="127">
        <f>'Monthly Prices'!G41/MAX('Monthly Prices'!$G$5:'Monthly Prices'!G41)-1</f>
        <v/>
      </c>
      <c r="H41" s="127">
        <f>'Monthly Prices'!H41/MAX('Monthly Prices'!$H$5:'Monthly Prices'!H41)-1</f>
        <v/>
      </c>
      <c r="I41" s="127">
        <f>'Monthly Prices'!I41/MAX('Monthly Prices'!$I$5:'Monthly Prices'!I41)-1</f>
        <v/>
      </c>
      <c r="J41" s="127">
        <f>'Monthly Prices'!J41/MAX('Monthly Prices'!$J$5:'Monthly Prices'!J41)-1</f>
        <v/>
      </c>
      <c r="K41" s="127">
        <f>'Monthly Prices'!K41/MAX('Monthly Prices'!$K$5:'Monthly Prices'!K41)-1</f>
        <v/>
      </c>
    </row>
  </sheetData>
  <autoFilter ref="A4:K41"/>
  <mergeCells count="2">
    <mergeCell ref="A2:K2"/>
    <mergeCell ref="A1:K1"/>
  </mergeCells>
  <pageMargins left="0.25" right="0.25" top="0.4" bottom="0.4" header="0.5" footer="0.5"/>
  <pageSetup orientation="landscape" paperSize="1" fitToHeight="0" fitToWidth="1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K14"/>
  <sheetViews>
    <sheetView showGridLines="0"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20" t="inlineStr">
        <is>
          <t>Monthly Return Correlation Matrix | Aug 2023–Aug 2026</t>
        </is>
      </c>
    </row>
    <row r="2" ht="24" customHeight="1">
      <c r="A2" s="114" t="inlineStr">
        <is>
          <t>Formula-driven from the Monthly Returns sheet.</t>
        </is>
      </c>
    </row>
    <row r="4" ht="34" customHeight="1">
      <c r="A4" s="74" t="inlineStr">
        <is>
          <t>Ticker</t>
        </is>
      </c>
      <c r="B4" s="74" t="inlineStr">
        <is>
          <t>SPY</t>
        </is>
      </c>
      <c r="C4" s="74" t="inlineStr">
        <is>
          <t>QQQ</t>
        </is>
      </c>
      <c r="D4" s="74" t="inlineStr">
        <is>
          <t>IWM</t>
        </is>
      </c>
      <c r="E4" s="74" t="inlineStr">
        <is>
          <t>EFA</t>
        </is>
      </c>
      <c r="F4" s="74" t="inlineStr">
        <is>
          <t>EEM</t>
        </is>
      </c>
      <c r="G4" s="74" t="inlineStr">
        <is>
          <t>AGG</t>
        </is>
      </c>
      <c r="H4" s="74" t="inlineStr">
        <is>
          <t>LQD</t>
        </is>
      </c>
      <c r="I4" s="74" t="inlineStr">
        <is>
          <t>HYG</t>
        </is>
      </c>
      <c r="J4" s="74" t="inlineStr">
        <is>
          <t>GLD</t>
        </is>
      </c>
      <c r="K4" s="74" t="inlineStr">
        <is>
          <t>VNQ</t>
        </is>
      </c>
    </row>
    <row r="5" ht="24" customHeight="1">
      <c r="A5" s="130" t="inlineStr">
        <is>
          <t>SPY</t>
        </is>
      </c>
      <c r="B5" s="131">
        <f>CORREL('Monthly Returns'!B5:B40,'Monthly Returns'!B5:B40)</f>
        <v/>
      </c>
      <c r="C5" s="131">
        <f>CORREL('Monthly Returns'!B5:B40,'Monthly Returns'!C5:C40)</f>
        <v/>
      </c>
      <c r="D5" s="131">
        <f>CORREL('Monthly Returns'!B5:B40,'Monthly Returns'!D5:D40)</f>
        <v/>
      </c>
      <c r="E5" s="131">
        <f>CORREL('Monthly Returns'!B5:B40,'Monthly Returns'!E5:E40)</f>
        <v/>
      </c>
      <c r="F5" s="131">
        <f>CORREL('Monthly Returns'!B5:B40,'Monthly Returns'!F5:F40)</f>
        <v/>
      </c>
      <c r="G5" s="131">
        <f>CORREL('Monthly Returns'!B5:B40,'Monthly Returns'!G5:G40)</f>
        <v/>
      </c>
      <c r="H5" s="131">
        <f>CORREL('Monthly Returns'!B5:B40,'Monthly Returns'!H5:H40)</f>
        <v/>
      </c>
      <c r="I5" s="131">
        <f>CORREL('Monthly Returns'!B5:B40,'Monthly Returns'!I5:I40)</f>
        <v/>
      </c>
      <c r="J5" s="131">
        <f>CORREL('Monthly Returns'!B5:B40,'Monthly Returns'!J5:J40)</f>
        <v/>
      </c>
      <c r="K5" s="131">
        <f>CORREL('Monthly Returns'!B5:B40,'Monthly Returns'!K5:K40)</f>
        <v/>
      </c>
    </row>
    <row r="6" ht="24" customHeight="1">
      <c r="A6" s="130" t="inlineStr">
        <is>
          <t>QQQ</t>
        </is>
      </c>
      <c r="B6" s="131">
        <f>CORREL('Monthly Returns'!C5:C40,'Monthly Returns'!B5:B40)</f>
        <v/>
      </c>
      <c r="C6" s="131">
        <f>CORREL('Monthly Returns'!C5:C40,'Monthly Returns'!C5:C40)</f>
        <v/>
      </c>
      <c r="D6" s="131">
        <f>CORREL('Monthly Returns'!C5:C40,'Monthly Returns'!D5:D40)</f>
        <v/>
      </c>
      <c r="E6" s="131">
        <f>CORREL('Monthly Returns'!C5:C40,'Monthly Returns'!E5:E40)</f>
        <v/>
      </c>
      <c r="F6" s="131">
        <f>CORREL('Monthly Returns'!C5:C40,'Monthly Returns'!F5:F40)</f>
        <v/>
      </c>
      <c r="G6" s="131">
        <f>CORREL('Monthly Returns'!C5:C40,'Monthly Returns'!G5:G40)</f>
        <v/>
      </c>
      <c r="H6" s="131">
        <f>CORREL('Monthly Returns'!C5:C40,'Monthly Returns'!H5:H40)</f>
        <v/>
      </c>
      <c r="I6" s="131">
        <f>CORREL('Monthly Returns'!C5:C40,'Monthly Returns'!I5:I40)</f>
        <v/>
      </c>
      <c r="J6" s="131">
        <f>CORREL('Monthly Returns'!C5:C40,'Monthly Returns'!J5:J40)</f>
        <v/>
      </c>
      <c r="K6" s="131">
        <f>CORREL('Monthly Returns'!C5:C40,'Monthly Returns'!K5:K40)</f>
        <v/>
      </c>
    </row>
    <row r="7" ht="24" customHeight="1">
      <c r="A7" s="130" t="inlineStr">
        <is>
          <t>IWM</t>
        </is>
      </c>
      <c r="B7" s="131">
        <f>CORREL('Monthly Returns'!D5:D40,'Monthly Returns'!B5:B40)</f>
        <v/>
      </c>
      <c r="C7" s="131">
        <f>CORREL('Monthly Returns'!D5:D40,'Monthly Returns'!C5:C40)</f>
        <v/>
      </c>
      <c r="D7" s="131">
        <f>CORREL('Monthly Returns'!D5:D40,'Monthly Returns'!D5:D40)</f>
        <v/>
      </c>
      <c r="E7" s="131">
        <f>CORREL('Monthly Returns'!D5:D40,'Monthly Returns'!E5:E40)</f>
        <v/>
      </c>
      <c r="F7" s="131">
        <f>CORREL('Monthly Returns'!D5:D40,'Monthly Returns'!F5:F40)</f>
        <v/>
      </c>
      <c r="G7" s="131">
        <f>CORREL('Monthly Returns'!D5:D40,'Monthly Returns'!G5:G40)</f>
        <v/>
      </c>
      <c r="H7" s="131">
        <f>CORREL('Monthly Returns'!D5:D40,'Monthly Returns'!H5:H40)</f>
        <v/>
      </c>
      <c r="I7" s="131">
        <f>CORREL('Monthly Returns'!D5:D40,'Monthly Returns'!I5:I40)</f>
        <v/>
      </c>
      <c r="J7" s="131">
        <f>CORREL('Monthly Returns'!D5:D40,'Monthly Returns'!J5:J40)</f>
        <v/>
      </c>
      <c r="K7" s="131">
        <f>CORREL('Monthly Returns'!D5:D40,'Monthly Returns'!K5:K40)</f>
        <v/>
      </c>
    </row>
    <row r="8" ht="24" customHeight="1">
      <c r="A8" s="130" t="inlineStr">
        <is>
          <t>EFA</t>
        </is>
      </c>
      <c r="B8" s="131">
        <f>CORREL('Monthly Returns'!E5:E40,'Monthly Returns'!B5:B40)</f>
        <v/>
      </c>
      <c r="C8" s="131">
        <f>CORREL('Monthly Returns'!E5:E40,'Monthly Returns'!C5:C40)</f>
        <v/>
      </c>
      <c r="D8" s="131">
        <f>CORREL('Monthly Returns'!E5:E40,'Monthly Returns'!D5:D40)</f>
        <v/>
      </c>
      <c r="E8" s="131">
        <f>CORREL('Monthly Returns'!E5:E40,'Monthly Returns'!E5:E40)</f>
        <v/>
      </c>
      <c r="F8" s="131">
        <f>CORREL('Monthly Returns'!E5:E40,'Monthly Returns'!F5:F40)</f>
        <v/>
      </c>
      <c r="G8" s="131">
        <f>CORREL('Monthly Returns'!E5:E40,'Monthly Returns'!G5:G40)</f>
        <v/>
      </c>
      <c r="H8" s="131">
        <f>CORREL('Monthly Returns'!E5:E40,'Monthly Returns'!H5:H40)</f>
        <v/>
      </c>
      <c r="I8" s="131">
        <f>CORREL('Monthly Returns'!E5:E40,'Monthly Returns'!I5:I40)</f>
        <v/>
      </c>
      <c r="J8" s="131">
        <f>CORREL('Monthly Returns'!E5:E40,'Monthly Returns'!J5:J40)</f>
        <v/>
      </c>
      <c r="K8" s="131">
        <f>CORREL('Monthly Returns'!E5:E40,'Monthly Returns'!K5:K40)</f>
        <v/>
      </c>
    </row>
    <row r="9" ht="24" customHeight="1">
      <c r="A9" s="130" t="inlineStr">
        <is>
          <t>EEM</t>
        </is>
      </c>
      <c r="B9" s="131">
        <f>CORREL('Monthly Returns'!F5:F40,'Monthly Returns'!B5:B40)</f>
        <v/>
      </c>
      <c r="C9" s="131">
        <f>CORREL('Monthly Returns'!F5:F40,'Monthly Returns'!C5:C40)</f>
        <v/>
      </c>
      <c r="D9" s="131">
        <f>CORREL('Monthly Returns'!F5:F40,'Monthly Returns'!D5:D40)</f>
        <v/>
      </c>
      <c r="E9" s="131">
        <f>CORREL('Monthly Returns'!F5:F40,'Monthly Returns'!E5:E40)</f>
        <v/>
      </c>
      <c r="F9" s="131">
        <f>CORREL('Monthly Returns'!F5:F40,'Monthly Returns'!F5:F40)</f>
        <v/>
      </c>
      <c r="G9" s="131">
        <f>CORREL('Monthly Returns'!F5:F40,'Monthly Returns'!G5:G40)</f>
        <v/>
      </c>
      <c r="H9" s="131">
        <f>CORREL('Monthly Returns'!F5:F40,'Monthly Returns'!H5:H40)</f>
        <v/>
      </c>
      <c r="I9" s="131">
        <f>CORREL('Monthly Returns'!F5:F40,'Monthly Returns'!I5:I40)</f>
        <v/>
      </c>
      <c r="J9" s="131">
        <f>CORREL('Monthly Returns'!F5:F40,'Monthly Returns'!J5:J40)</f>
        <v/>
      </c>
      <c r="K9" s="131">
        <f>CORREL('Monthly Returns'!F5:F40,'Monthly Returns'!K5:K40)</f>
        <v/>
      </c>
    </row>
    <row r="10" ht="24" customHeight="1">
      <c r="A10" s="130" t="inlineStr">
        <is>
          <t>AGG</t>
        </is>
      </c>
      <c r="B10" s="131">
        <f>CORREL('Monthly Returns'!G5:G40,'Monthly Returns'!B5:B40)</f>
        <v/>
      </c>
      <c r="C10" s="131">
        <f>CORREL('Monthly Returns'!G5:G40,'Monthly Returns'!C5:C40)</f>
        <v/>
      </c>
      <c r="D10" s="131">
        <f>CORREL('Monthly Returns'!G5:G40,'Monthly Returns'!D5:D40)</f>
        <v/>
      </c>
      <c r="E10" s="131">
        <f>CORREL('Monthly Returns'!G5:G40,'Monthly Returns'!E5:E40)</f>
        <v/>
      </c>
      <c r="F10" s="131">
        <f>CORREL('Monthly Returns'!G5:G40,'Monthly Returns'!F5:F40)</f>
        <v/>
      </c>
      <c r="G10" s="131">
        <f>CORREL('Monthly Returns'!G5:G40,'Monthly Returns'!G5:G40)</f>
        <v/>
      </c>
      <c r="H10" s="131">
        <f>CORREL('Monthly Returns'!G5:G40,'Monthly Returns'!H5:H40)</f>
        <v/>
      </c>
      <c r="I10" s="131">
        <f>CORREL('Monthly Returns'!G5:G40,'Monthly Returns'!I5:I40)</f>
        <v/>
      </c>
      <c r="J10" s="131">
        <f>CORREL('Monthly Returns'!G5:G40,'Monthly Returns'!J5:J40)</f>
        <v/>
      </c>
      <c r="K10" s="131">
        <f>CORREL('Monthly Returns'!G5:G40,'Monthly Returns'!K5:K40)</f>
        <v/>
      </c>
    </row>
    <row r="11" ht="24" customHeight="1">
      <c r="A11" s="130" t="inlineStr">
        <is>
          <t>LQD</t>
        </is>
      </c>
      <c r="B11" s="131">
        <f>CORREL('Monthly Returns'!H5:H40,'Monthly Returns'!B5:B40)</f>
        <v/>
      </c>
      <c r="C11" s="131">
        <f>CORREL('Monthly Returns'!H5:H40,'Monthly Returns'!C5:C40)</f>
        <v/>
      </c>
      <c r="D11" s="131">
        <f>CORREL('Monthly Returns'!H5:H40,'Monthly Returns'!D5:D40)</f>
        <v/>
      </c>
      <c r="E11" s="131">
        <f>CORREL('Monthly Returns'!H5:H40,'Monthly Returns'!E5:E40)</f>
        <v/>
      </c>
      <c r="F11" s="131">
        <f>CORREL('Monthly Returns'!H5:H40,'Monthly Returns'!F5:F40)</f>
        <v/>
      </c>
      <c r="G11" s="131">
        <f>CORREL('Monthly Returns'!H5:H40,'Monthly Returns'!G5:G40)</f>
        <v/>
      </c>
      <c r="H11" s="131">
        <f>CORREL('Monthly Returns'!H5:H40,'Monthly Returns'!H5:H40)</f>
        <v/>
      </c>
      <c r="I11" s="131">
        <f>CORREL('Monthly Returns'!H5:H40,'Monthly Returns'!I5:I40)</f>
        <v/>
      </c>
      <c r="J11" s="131">
        <f>CORREL('Monthly Returns'!H5:H40,'Monthly Returns'!J5:J40)</f>
        <v/>
      </c>
      <c r="K11" s="131">
        <f>CORREL('Monthly Returns'!H5:H40,'Monthly Returns'!K5:K40)</f>
        <v/>
      </c>
    </row>
    <row r="12" ht="24" customHeight="1">
      <c r="A12" s="130" t="inlineStr">
        <is>
          <t>HYG</t>
        </is>
      </c>
      <c r="B12" s="131">
        <f>CORREL('Monthly Returns'!I5:I40,'Monthly Returns'!B5:B40)</f>
        <v/>
      </c>
      <c r="C12" s="131">
        <f>CORREL('Monthly Returns'!I5:I40,'Monthly Returns'!C5:C40)</f>
        <v/>
      </c>
      <c r="D12" s="131">
        <f>CORREL('Monthly Returns'!I5:I40,'Monthly Returns'!D5:D40)</f>
        <v/>
      </c>
      <c r="E12" s="131">
        <f>CORREL('Monthly Returns'!I5:I40,'Monthly Returns'!E5:E40)</f>
        <v/>
      </c>
      <c r="F12" s="131">
        <f>CORREL('Monthly Returns'!I5:I40,'Monthly Returns'!F5:F40)</f>
        <v/>
      </c>
      <c r="G12" s="131">
        <f>CORREL('Monthly Returns'!I5:I40,'Monthly Returns'!G5:G40)</f>
        <v/>
      </c>
      <c r="H12" s="131">
        <f>CORREL('Monthly Returns'!I5:I40,'Monthly Returns'!H5:H40)</f>
        <v/>
      </c>
      <c r="I12" s="131">
        <f>CORREL('Monthly Returns'!I5:I40,'Monthly Returns'!I5:I40)</f>
        <v/>
      </c>
      <c r="J12" s="131">
        <f>CORREL('Monthly Returns'!I5:I40,'Monthly Returns'!J5:J40)</f>
        <v/>
      </c>
      <c r="K12" s="131">
        <f>CORREL('Monthly Returns'!I5:I40,'Monthly Returns'!K5:K40)</f>
        <v/>
      </c>
    </row>
    <row r="13" ht="24" customHeight="1">
      <c r="A13" s="130" t="inlineStr">
        <is>
          <t>GLD</t>
        </is>
      </c>
      <c r="B13" s="131">
        <f>CORREL('Monthly Returns'!J5:J40,'Monthly Returns'!B5:B40)</f>
        <v/>
      </c>
      <c r="C13" s="131">
        <f>CORREL('Monthly Returns'!J5:J40,'Monthly Returns'!C5:C40)</f>
        <v/>
      </c>
      <c r="D13" s="131">
        <f>CORREL('Monthly Returns'!J5:J40,'Monthly Returns'!D5:D40)</f>
        <v/>
      </c>
      <c r="E13" s="131">
        <f>CORREL('Monthly Returns'!J5:J40,'Monthly Returns'!E5:E40)</f>
        <v/>
      </c>
      <c r="F13" s="131">
        <f>CORREL('Monthly Returns'!J5:J40,'Monthly Returns'!F5:F40)</f>
        <v/>
      </c>
      <c r="G13" s="131">
        <f>CORREL('Monthly Returns'!J5:J40,'Monthly Returns'!G5:G40)</f>
        <v/>
      </c>
      <c r="H13" s="131">
        <f>CORREL('Monthly Returns'!J5:J40,'Monthly Returns'!H5:H40)</f>
        <v/>
      </c>
      <c r="I13" s="131">
        <f>CORREL('Monthly Returns'!J5:J40,'Monthly Returns'!I5:I40)</f>
        <v/>
      </c>
      <c r="J13" s="131">
        <f>CORREL('Monthly Returns'!J5:J40,'Monthly Returns'!J5:J40)</f>
        <v/>
      </c>
      <c r="K13" s="131">
        <f>CORREL('Monthly Returns'!J5:J40,'Monthly Returns'!K5:K40)</f>
        <v/>
      </c>
    </row>
    <row r="14" ht="24" customHeight="1">
      <c r="A14" s="130" t="inlineStr">
        <is>
          <t>VNQ</t>
        </is>
      </c>
      <c r="B14" s="131">
        <f>CORREL('Monthly Returns'!K5:K40,'Monthly Returns'!B5:B40)</f>
        <v/>
      </c>
      <c r="C14" s="131">
        <f>CORREL('Monthly Returns'!K5:K40,'Monthly Returns'!C5:C40)</f>
        <v/>
      </c>
      <c r="D14" s="131">
        <f>CORREL('Monthly Returns'!K5:K40,'Monthly Returns'!D5:D40)</f>
        <v/>
      </c>
      <c r="E14" s="131">
        <f>CORREL('Monthly Returns'!K5:K40,'Monthly Returns'!E5:E40)</f>
        <v/>
      </c>
      <c r="F14" s="131">
        <f>CORREL('Monthly Returns'!K5:K40,'Monthly Returns'!F5:F40)</f>
        <v/>
      </c>
      <c r="G14" s="131">
        <f>CORREL('Monthly Returns'!K5:K40,'Monthly Returns'!G5:G40)</f>
        <v/>
      </c>
      <c r="H14" s="131">
        <f>CORREL('Monthly Returns'!K5:K40,'Monthly Returns'!H5:H40)</f>
        <v/>
      </c>
      <c r="I14" s="131">
        <f>CORREL('Monthly Returns'!K5:K40,'Monthly Returns'!I5:I40)</f>
        <v/>
      </c>
      <c r="J14" s="131">
        <f>CORREL('Monthly Returns'!K5:K40,'Monthly Returns'!J5:J40)</f>
        <v/>
      </c>
      <c r="K14" s="131">
        <f>CORREL('Monthly Returns'!K5:K40,'Monthly Returns'!K5:K40)</f>
        <v/>
      </c>
    </row>
  </sheetData>
  <mergeCells count="2">
    <mergeCell ref="A2:K2"/>
    <mergeCell ref="A1:K1"/>
  </mergeCells>
  <conditionalFormatting sqref="B5:K14">
    <cfRule type="colorScale" priority="2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25" right="0.25" top="0.4" bottom="0.4" header="0.5" footer="0.5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34"/>
  <sheetViews>
    <sheetView showGridLines="0" zoomScale="88" workbookViewId="0"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57" t="inlineStr">
        <is>
          <t>Product Development Case</t>
        </is>
      </c>
    </row>
    <row r="2" ht="25" customHeight="1">
      <c r="A2" s="132" t="inlineStr">
        <is>
          <t>Translate competitor economics and quantitative analysis into a business recommendation.</t>
        </is>
      </c>
    </row>
    <row r="4" ht="22" customHeight="1">
      <c r="A4" s="59" t="inlineStr">
        <is>
          <t>Decision Question</t>
        </is>
      </c>
    </row>
    <row r="6" ht="28" customHeight="1">
      <c r="A6" s="133" t="inlineStr">
        <is>
          <t>Should an asset manager enter the broad emerging-markets ETF category with another low-cost passive product, or pursue a differentiated active/systematic proposition?</t>
        </is>
      </c>
    </row>
    <row r="7" ht="28" customHeight="1"/>
    <row r="8" ht="28" customHeight="1"/>
    <row r="10" ht="22" customHeight="1">
      <c r="A10" s="59" t="inlineStr">
        <is>
          <t>Evidence</t>
        </is>
      </c>
    </row>
    <row r="12" ht="33" customHeight="1">
      <c r="A12" s="118" t="inlineStr">
        <is>
          <t>Price compression</t>
        </is>
      </c>
      <c r="B12" s="61" t="inlineStr">
        <is>
          <t>Four of five selected core peers charge 0.06%–0.09%; competing purely on price would be difficult.</t>
        </is>
      </c>
    </row>
    <row r="13" ht="33" customHeight="1">
      <c r="A13" s="118" t="inlineStr">
        <is>
          <t>Scale concentration</t>
        </is>
      </c>
      <c r="B13" s="134" t="inlineStr">
        <is>
          <t>IEMG and VWO dominate the selected peer set by AUM, suggesting incumbent scale and distribution matter.</t>
        </is>
      </c>
    </row>
    <row r="14" ht="33" customHeight="1">
      <c r="A14" s="118" t="inlineStr">
        <is>
          <t>Liquidity premium</t>
        </is>
      </c>
      <c r="B14" s="61" t="inlineStr">
        <is>
          <t>EEM remains large despite a 0.72% expense ratio, illustrating that liquidity/trading utility can support a premium proposition.</t>
        </is>
      </c>
    </row>
    <row r="15" ht="33" customHeight="1">
      <c r="A15" s="118" t="inlineStr">
        <is>
          <t>MSIM platform fit</t>
        </is>
      </c>
      <c r="B15" s="134" t="inlineStr">
        <is>
          <t>MSIM publicly emphasizes differentiated active/systematic ETF solutions and outcomes such as downside-risk management and capital appreciation.</t>
        </is>
      </c>
    </row>
    <row r="16" ht="33" customHeight="1">
      <c r="A16" s="118" t="inlineStr">
        <is>
          <t>Quantitative EM evidence</t>
        </is>
      </c>
      <c r="B16" s="61" t="inlineStr">
        <is>
          <t>EEM generated a 22.5% CAGR over Aug 2023–Aug 2026 with 15.4% annualized monthly volatility, a -9.3% month-end max drawdown, and 0.79 beta to SPY.</t>
        </is>
      </c>
    </row>
    <row r="17" ht="33" customHeight="1">
      <c r="A17" s="118" t="inlineStr">
        <is>
          <t>Cross-asset risk lens</t>
        </is>
      </c>
      <c r="B17" s="134" t="inlineStr">
        <is>
          <t>Gold provided near-zero correlation with SPY in this window, while high-yield credit remained strongly equity-sensitive—reinforcing the importance of explicit risk controls and diversification thinking.</t>
        </is>
      </c>
    </row>
    <row r="18" ht="22" customHeight="1">
      <c r="A18" s="59" t="inlineStr">
        <is>
          <t>Illustrative Concept</t>
        </is>
      </c>
    </row>
    <row r="20" ht="33" customHeight="1">
      <c r="A20" s="118" t="inlineStr">
        <is>
          <t>Working name</t>
        </is>
      </c>
      <c r="B20" s="135" t="inlineStr">
        <is>
          <t>MSIM Emerging Markets Quality &amp; Risk ETF (hypothetical)</t>
        </is>
      </c>
    </row>
    <row r="21" ht="33" customHeight="1">
      <c r="A21" s="118" t="inlineStr">
        <is>
          <t>Investment idea</t>
        </is>
      </c>
      <c r="B21" s="134" t="inlineStr">
        <is>
          <t>Systematic selection emphasizing profitability, balance-sheet strength, and earnings quality within a diversified EM universe.</t>
        </is>
      </c>
    </row>
    <row r="22" ht="33" customHeight="1">
      <c r="A22" s="118" t="inlineStr">
        <is>
          <t>Risk architecture</t>
        </is>
      </c>
      <c r="B22" s="61" t="inlineStr">
        <is>
          <t>Country and sector concentration limits, liquidity screens, and explicit portfolio-volatility / drawdown monitoring.</t>
        </is>
      </c>
    </row>
    <row r="23" ht="33" customHeight="1">
      <c r="A23" s="118" t="inlineStr">
        <is>
          <t>Client outcome</t>
        </is>
      </c>
      <c r="B23" s="134" t="inlineStr">
        <is>
          <t>Broad EM participation with a more disciplined risk profile than undifferentiated cap-weighted beta.</t>
        </is>
      </c>
    </row>
    <row r="24" ht="33" customHeight="1">
      <c r="A24" s="118" t="inlineStr">
        <is>
          <t>Target channel</t>
        </is>
      </c>
      <c r="B24" s="61" t="inlineStr">
        <is>
          <t>Wealth platforms, RIAs, model portfolios, and institutional allocators seeking EM exposure with a differentiated process.</t>
        </is>
      </c>
    </row>
    <row r="25" ht="33" customHeight="1">
      <c r="A25" s="118" t="inlineStr">
        <is>
          <t>Economics</t>
        </is>
      </c>
      <c r="B25" s="134" t="inlineStr">
        <is>
          <t>Illustrative mid-range fee rather than fee-floor positioning; exact pricing would require a full market scan and distribution economics.</t>
        </is>
      </c>
    </row>
    <row r="28" ht="22" customHeight="1">
      <c r="A28" s="59" t="inlineStr">
        <is>
          <t>Risks / Questions to Test Before Launch</t>
        </is>
      </c>
    </row>
    <row r="30" ht="30" customHeight="1">
      <c r="A30" s="67" t="inlineStr">
        <is>
          <t>• Is the differentiated outcome clear enough to overcome incumbent scale and distribution advantages?</t>
        </is>
      </c>
    </row>
    <row r="31" ht="30" customHeight="1">
      <c r="A31" s="68" t="inlineStr">
        <is>
          <t>• How much active risk / tracking error is acceptable for model-portfolio and wealth buyers?</t>
        </is>
      </c>
    </row>
    <row r="32" ht="30" customHeight="1">
      <c r="A32" s="67" t="inlineStr">
        <is>
          <t>• What fee level balances product economics with competitive positioning?</t>
        </is>
      </c>
    </row>
    <row r="33" ht="30" customHeight="1">
      <c r="A33" s="68" t="inlineStr">
        <is>
          <t>• Can the strategy maintain sufficient liquidity and capacity across emerging-market securities?</t>
        </is>
      </c>
    </row>
    <row r="34" ht="30" customHeight="1">
      <c r="A34" s="67" t="inlineStr">
        <is>
          <t>• Would an ETF wrapper create tax, trading, or transparency advantages relative to existing vehicles?</t>
        </is>
      </c>
    </row>
  </sheetData>
  <mergeCells count="22">
    <mergeCell ref="B25:L25"/>
    <mergeCell ref="A6:L8"/>
    <mergeCell ref="A18:L18"/>
    <mergeCell ref="B22:L22"/>
    <mergeCell ref="A2:L2"/>
    <mergeCell ref="B12:L12"/>
    <mergeCell ref="B21:L21"/>
    <mergeCell ref="A33:L33"/>
    <mergeCell ref="A32:L32"/>
    <mergeCell ref="B14:L14"/>
    <mergeCell ref="B23:L23"/>
    <mergeCell ref="A4:L4"/>
    <mergeCell ref="A10:L10"/>
    <mergeCell ref="B13:L13"/>
    <mergeCell ref="A28:L28"/>
    <mergeCell ref="A31:L31"/>
    <mergeCell ref="A34:L34"/>
    <mergeCell ref="A30:L30"/>
    <mergeCell ref="B15:L15"/>
    <mergeCell ref="A1:L1"/>
    <mergeCell ref="B24:L24"/>
    <mergeCell ref="B20:L20"/>
  </mergeCells>
  <pageMargins left="0.25" right="0.25" top="0.4" bottom="0.4" header="0.5" footer="0.5"/>
  <pageSetup orientation="landscape" paperSize="1" fitToHeight="0" fitToWidth="1"/>
</worksheet>
</file>

<file path=xl/worksheets/sheet12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H26"/>
  <sheetViews>
    <sheetView showGridLines="0" zoomScale="78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0" customWidth="1" min="3" max="3"/>
    <col width="55" customWidth="1" min="4" max="4"/>
    <col width="48" customWidth="1" min="5" max="5"/>
    <col hidden="1" width="10" customWidth="1" min="6" max="6"/>
    <col hidden="1" width="10" customWidth="1" min="7" max="7"/>
    <col hidden="1" width="10" customWidth="1" min="8" max="8"/>
  </cols>
  <sheetData>
    <row r="1" ht="30" customHeight="1">
      <c r="A1" s="57" t="inlineStr">
        <is>
          <t>Sources &amp; Data Notes</t>
        </is>
      </c>
    </row>
    <row r="2" ht="25" customHeight="1">
      <c r="A2" s="132" t="inlineStr">
        <is>
          <t>Public-source reference log for the project. Refresh dates and metrics before publishing or interviewing.</t>
        </is>
      </c>
    </row>
    <row r="4" ht="34" customHeight="1">
      <c r="A4" s="74" t="inlineStr">
        <is>
          <t>Source</t>
        </is>
      </c>
      <c r="B4" s="74" t="inlineStr">
        <is>
          <t>Used For</t>
        </is>
      </c>
      <c r="C4" s="74" t="inlineStr">
        <is>
          <t>Access / Data Date</t>
        </is>
      </c>
      <c r="D4" s="74" t="inlineStr">
        <is>
          <t>URL</t>
        </is>
      </c>
      <c r="E4" s="74" t="inlineStr">
        <is>
          <t>Notes</t>
        </is>
      </c>
      <c r="F4" s="15" t="inlineStr"/>
      <c r="G4" s="15" t="inlineStr"/>
      <c r="H4" s="15" t="inlineStr"/>
    </row>
    <row r="5" ht="42" customHeight="1">
      <c r="A5" s="82" t="inlineStr">
        <is>
          <t>Morgan Stanley job posting</t>
        </is>
      </c>
      <c r="B5" s="82" t="inlineStr">
        <is>
          <t>Role requirements and team responsibilities</t>
        </is>
      </c>
      <c r="C5" s="82" t="inlineStr">
        <is>
          <t>Crawled 2026-09-19</t>
        </is>
      </c>
      <c r="D5" s="136" t="inlineStr">
        <is>
          <t>https://morganstanley.tal.net/vx/candidate/so/pm/1/pl/1/opp/20910</t>
        </is>
      </c>
      <c r="E5" s="82" t="inlineStr">
        <is>
          <t>Strategic Functions: IM Strategy, Product Development, ETFs, Office of COO, Global Risk &amp; Analysis.</t>
        </is>
      </c>
    </row>
    <row r="6" ht="42" customHeight="1">
      <c r="A6" s="91" t="inlineStr">
        <is>
          <t>Morgan Stanley ETF campaign</t>
        </is>
      </c>
      <c r="B6" s="91" t="inlineStr">
        <is>
          <t>MSIM ETF positioning</t>
        </is>
      </c>
      <c r="C6" s="91" t="inlineStr">
        <is>
          <t>Crawled Sep 2026</t>
        </is>
      </c>
      <c r="D6" s="137" t="inlineStr">
        <is>
          <t>https://www.morganstanley.com/im/en-us/individual-investor/campaigns/our-etfs.html</t>
        </is>
      </c>
      <c r="E6" s="91" t="inlineStr">
        <is>
          <t>MSIM highlights active/systematic differentiated solutions and investor outcomes.</t>
        </is>
      </c>
    </row>
    <row r="7" ht="42" customHeight="1">
      <c r="A7" s="82" t="inlineStr">
        <is>
          <t>Morgan Stanley ETP launch</t>
        </is>
      </c>
      <c r="B7" s="82" t="inlineStr">
        <is>
          <t>MSIM ETF/ETP platform scale</t>
        </is>
      </c>
      <c r="C7" s="82" t="inlineStr">
        <is>
          <t>2026-07-28</t>
        </is>
      </c>
      <c r="D7" s="136" t="inlineStr">
        <is>
          <t>https://www.morganstanley.com/im/en-us/capital-seeker/about-us/news-and-insights/press-release/msim-expands-etp-offerings-with-launch-of-ethereum-and-solana-exchange-traded-products.html</t>
        </is>
      </c>
      <c r="E7" s="82" t="inlineStr">
        <is>
          <t>Release states platform exceeded $14B AUM.</t>
        </is>
      </c>
    </row>
    <row r="8" ht="42" customHeight="1">
      <c r="A8" s="91" t="inlineStr">
        <is>
          <t>EEM issuer page</t>
        </is>
      </c>
      <c r="B8" s="91" t="inlineStr">
        <is>
          <t>EEM AUM / fee / holdings / benchmark</t>
        </is>
      </c>
      <c r="C8" s="91" t="inlineStr">
        <is>
          <t>AUM 2026-09-18; holdings 2026-09-17; fee current prospectus</t>
        </is>
      </c>
      <c r="D8" s="137" t="inlineStr">
        <is>
          <t>https://www.ishares.com/us/products/239637/ishares-msci-emerging-markets-etf</t>
        </is>
      </c>
      <c r="E8" s="91" t="inlineStr">
        <is>
          <t>AUM, holdings, fee, benchmark, inception. Field dates differ; see Product Landscape.</t>
        </is>
      </c>
    </row>
    <row r="9" ht="42" customHeight="1">
      <c r="A9" s="82" t="inlineStr">
        <is>
          <t>IEMG issuer page</t>
        </is>
      </c>
      <c r="B9" s="82" t="inlineStr">
        <is>
          <t>IEMG AUM / fee / holdings / benchmark</t>
        </is>
      </c>
      <c r="C9" s="82" t="inlineStr">
        <is>
          <t>AUM 2026-09-18; holdings 2026-09-17; fee current prospectus</t>
        </is>
      </c>
      <c r="D9" s="136" t="inlineStr">
        <is>
          <t>https://www.ishares.com/us/products/244050/ishares-core-msci-emerging-markets-etf</t>
        </is>
      </c>
      <c r="E9" s="82" t="inlineStr">
        <is>
          <t>AUM, holdings, fee, benchmark, inception.</t>
        </is>
      </c>
    </row>
    <row r="10" ht="42" customHeight="1">
      <c r="A10" s="91" t="inlineStr">
        <is>
          <t>VWO issuer page</t>
        </is>
      </c>
      <c r="B10" s="91" t="inlineStr">
        <is>
          <t>VWO AUM / fee / holdings / benchmark</t>
        </is>
      </c>
      <c r="C10" s="91" t="inlineStr">
        <is>
          <t>AUM 2026-08-31; holdings 2026-07-31; fee 2026-02-27</t>
        </is>
      </c>
      <c r="D10" s="137" t="inlineStr">
        <is>
          <t>https://advisors.vanguard.com/investments/products/vwo/vanguard-ftse-emerging-markets-etf</t>
        </is>
      </c>
      <c r="E10" s="91" t="inlineStr">
        <is>
          <t>AUM, holdings, fee, benchmark, inception. Field dates differ.</t>
        </is>
      </c>
    </row>
    <row r="11" ht="42" customHeight="1">
      <c r="A11" s="82" t="inlineStr">
        <is>
          <t>SPEM issuer page</t>
        </is>
      </c>
      <c r="B11" s="82" t="inlineStr">
        <is>
          <t>SPEM AUM / fee / holdings / benchmark</t>
        </is>
      </c>
      <c r="C11" s="82" t="inlineStr">
        <is>
          <t>AUM/holdings 2026-09-16; fund information/fee 2026-09-17</t>
        </is>
      </c>
      <c r="D11" s="136" t="inlineStr">
        <is>
          <t>https://www.ssga.com/us/en/individual/etfs/state-street-spdr-portfolio-emerging-markets-etf-spem</t>
        </is>
      </c>
      <c r="E11" s="82" t="inlineStr">
        <is>
          <t>AUM, holdings, fee, benchmark, inception.</t>
        </is>
      </c>
    </row>
    <row r="12" ht="42" customHeight="1">
      <c r="A12" s="91" t="inlineStr">
        <is>
          <t>SCHE issuer page</t>
        </is>
      </c>
      <c r="B12" s="91" t="inlineStr">
        <is>
          <t>SCHE AUM / fee / holdings / benchmark</t>
        </is>
      </c>
      <c r="C12" s="91" t="inlineStr">
        <is>
          <t>AUM 2026-09-18; holdings 2026-09-17; fee 0.06% effective 2026-06-11</t>
        </is>
      </c>
      <c r="D12" s="137" t="inlineStr">
        <is>
          <t>https://www.schwabassetmanagement.com/products/sche</t>
        </is>
      </c>
      <c r="E12" s="91" t="inlineStr">
        <is>
          <t>AUM, holdings, fee, benchmark, inception.</t>
        </is>
      </c>
    </row>
    <row r="13" ht="22" customHeight="1">
      <c r="A13" s="59" t="inlineStr">
        <is>
          <t>Historical Price Data</t>
        </is>
      </c>
    </row>
    <row r="14" ht="42" customHeight="1">
      <c r="A14" s="91" t="inlineStr">
        <is>
          <t>SPY Digrin price history</t>
        </is>
      </c>
      <c r="B14" s="91" t="inlineStr">
        <is>
          <t>Month-end adjusted prices used in 3Y risk analysis</t>
        </is>
      </c>
      <c r="C14" s="91" t="inlineStr">
        <is>
          <t>Aug 2023–Aug 2026</t>
        </is>
      </c>
      <c r="D14" s="137" t="inlineStr">
        <is>
          <t>https://www.digrin.com/stocks/detail/SPY/price</t>
        </is>
      </c>
      <c r="E14" s="91" t="inlineStr">
        <is>
          <t>Public monthly adjusted-price history; August 2026 used as final full month.</t>
        </is>
      </c>
    </row>
    <row r="15" ht="42" customHeight="1">
      <c r="A15" s="82" t="inlineStr">
        <is>
          <t>QQQ Digrin price history</t>
        </is>
      </c>
      <c r="B15" s="82" t="inlineStr">
        <is>
          <t>Month-end adjusted prices used in 3Y risk analysis</t>
        </is>
      </c>
      <c r="C15" s="82" t="inlineStr">
        <is>
          <t>Aug 2023–Aug 2026</t>
        </is>
      </c>
      <c r="D15" s="136" t="inlineStr">
        <is>
          <t>https://www.digrin.com/stocks/detail/QQQ/price</t>
        </is>
      </c>
      <c r="E15" s="82" t="inlineStr">
        <is>
          <t>Public monthly adjusted-price history; August 2026 used as final full month.</t>
        </is>
      </c>
    </row>
    <row r="16" ht="42" customHeight="1">
      <c r="A16" s="91" t="inlineStr">
        <is>
          <t>IWM Digrin price history</t>
        </is>
      </c>
      <c r="B16" s="91" t="inlineStr">
        <is>
          <t>Month-end adjusted prices used in 3Y risk analysis</t>
        </is>
      </c>
      <c r="C16" s="91" t="inlineStr">
        <is>
          <t>Aug 2023–Aug 2026</t>
        </is>
      </c>
      <c r="D16" s="137" t="inlineStr">
        <is>
          <t>https://www.digrin.com/stocks/detail/IWM/price</t>
        </is>
      </c>
      <c r="E16" s="91" t="inlineStr">
        <is>
          <t>Public monthly adjusted-price history; August 2026 used as final full month.</t>
        </is>
      </c>
    </row>
    <row r="17" ht="42" customHeight="1">
      <c r="A17" s="82" t="inlineStr">
        <is>
          <t>EFA Digrin price history</t>
        </is>
      </c>
      <c r="B17" s="82" t="inlineStr">
        <is>
          <t>Month-end adjusted prices used in 3Y risk analysis</t>
        </is>
      </c>
      <c r="C17" s="82" t="inlineStr">
        <is>
          <t>Aug 2023–Aug 2026</t>
        </is>
      </c>
      <c r="D17" s="136" t="inlineStr">
        <is>
          <t>https://www.digrin.com/stocks/detail/EFA/price</t>
        </is>
      </c>
      <c r="E17" s="82" t="inlineStr">
        <is>
          <t>Public monthly adjusted-price history; August 2026 used as final full month.</t>
        </is>
      </c>
    </row>
    <row r="18" ht="42" customHeight="1">
      <c r="A18" s="91" t="inlineStr">
        <is>
          <t>EEM Digrin price history</t>
        </is>
      </c>
      <c r="B18" s="91" t="inlineStr">
        <is>
          <t>Month-end adjusted prices used in 3Y risk analysis</t>
        </is>
      </c>
      <c r="C18" s="91" t="inlineStr">
        <is>
          <t>Aug 2023–Aug 2026</t>
        </is>
      </c>
      <c r="D18" s="137" t="inlineStr">
        <is>
          <t>https://www.digrin.com/stocks/detail/EEM/price</t>
        </is>
      </c>
      <c r="E18" s="91" t="inlineStr">
        <is>
          <t>Public monthly adjusted-price history; August 2026 used as final full month.</t>
        </is>
      </c>
    </row>
    <row r="19" ht="42" customHeight="1">
      <c r="A19" s="82" t="inlineStr">
        <is>
          <t>AGG Digrin price history</t>
        </is>
      </c>
      <c r="B19" s="82" t="inlineStr">
        <is>
          <t>Month-end adjusted prices used in 3Y risk analysis</t>
        </is>
      </c>
      <c r="C19" s="82" t="inlineStr">
        <is>
          <t>Aug 2023–Aug 2026</t>
        </is>
      </c>
      <c r="D19" s="136" t="inlineStr">
        <is>
          <t>https://www.digrin.com/stocks/detail/AGG/price</t>
        </is>
      </c>
      <c r="E19" s="82" t="inlineStr">
        <is>
          <t>Public monthly adjusted-price history; August 2026 used as final full month.</t>
        </is>
      </c>
    </row>
    <row r="20" ht="42" customHeight="1">
      <c r="A20" s="91" t="inlineStr">
        <is>
          <t>LQD Digrin price history</t>
        </is>
      </c>
      <c r="B20" s="91" t="inlineStr">
        <is>
          <t>Month-end adjusted prices used in 3Y risk analysis</t>
        </is>
      </c>
      <c r="C20" s="91" t="inlineStr">
        <is>
          <t>Aug 2023–Aug 2026</t>
        </is>
      </c>
      <c r="D20" s="137" t="inlineStr">
        <is>
          <t>https://www.digrin.com/stocks/detail/LQD/price</t>
        </is>
      </c>
      <c r="E20" s="91" t="inlineStr">
        <is>
          <t>Public monthly adjusted-price history; August 2026 used as final full month.</t>
        </is>
      </c>
    </row>
    <row r="21" ht="42" customHeight="1">
      <c r="A21" s="82" t="inlineStr">
        <is>
          <t>HYG Digrin price history</t>
        </is>
      </c>
      <c r="B21" s="82" t="inlineStr">
        <is>
          <t>Month-end adjusted prices used in 3Y risk analysis</t>
        </is>
      </c>
      <c r="C21" s="82" t="inlineStr">
        <is>
          <t>Aug 2023–Aug 2026</t>
        </is>
      </c>
      <c r="D21" s="136" t="inlineStr">
        <is>
          <t>https://www.digrin.com/stocks/detail/HYG/price</t>
        </is>
      </c>
      <c r="E21" s="82" t="inlineStr">
        <is>
          <t>Public monthly adjusted-price history; August 2026 used as final full month.</t>
        </is>
      </c>
    </row>
    <row r="22" ht="42" customHeight="1">
      <c r="A22" s="91" t="inlineStr">
        <is>
          <t>GLD Digrin price history</t>
        </is>
      </c>
      <c r="B22" s="91" t="inlineStr">
        <is>
          <t>Month-end adjusted prices used in 3Y risk analysis</t>
        </is>
      </c>
      <c r="C22" s="91" t="inlineStr">
        <is>
          <t>Aug 2023–Aug 2026</t>
        </is>
      </c>
      <c r="D22" s="137" t="inlineStr">
        <is>
          <t>https://www.digrin.com/stocks/detail/GLD/price</t>
        </is>
      </c>
      <c r="E22" s="91" t="inlineStr">
        <is>
          <t>Public monthly adjusted-price history; August 2026 used as final full month.</t>
        </is>
      </c>
    </row>
    <row r="23" ht="42" customHeight="1">
      <c r="A23" s="82" t="inlineStr">
        <is>
          <t>VNQ Digrin price history</t>
        </is>
      </c>
      <c r="B23" s="82" t="inlineStr">
        <is>
          <t>Month-end adjusted prices used in 3Y risk analysis</t>
        </is>
      </c>
      <c r="C23" s="82" t="inlineStr">
        <is>
          <t>Aug 2023–Aug 2026</t>
        </is>
      </c>
      <c r="D23" s="136" t="inlineStr">
        <is>
          <t>https://www.digrin.com/stocks/detail/VNQ/price</t>
        </is>
      </c>
      <c r="E23" s="82" t="inlineStr">
        <is>
          <t>Public monthly adjusted-price history; August 2026 used as final full month.</t>
        </is>
      </c>
    </row>
    <row r="24">
      <c r="A24" s="82" t="inlineStr">
        <is>
          <t>FRED DGS3MO</t>
        </is>
      </c>
      <c r="B24" s="82" t="inlineStr">
        <is>
          <t>Monthly risk-free rate for Sharpe / Sortino excess returns</t>
        </is>
      </c>
      <c r="C24" s="82" t="inlineStr">
        <is>
          <t>Last available business-day observation each month, Sep 2023–Aug 2026; accessed 2026-09-19</t>
        </is>
      </c>
      <c r="D24" s="136" t="inlineStr">
        <is>
          <t>https://fred.stlouisfed.org/series/DGS3MO</t>
        </is>
      </c>
      <c r="E24" s="82" t="inlineStr">
        <is>
          <t>Federal Reserve Board H.15 3-month Treasury constant-maturity yield. Exact observation date is shown on Risk-Free Rates; monthly equivalent derived as (1+annual yield)^(1/12)-1.</t>
        </is>
      </c>
    </row>
    <row r="26">
      <c r="A26" s="82" t="inlineStr">
        <is>
          <t>Data audit note</t>
        </is>
      </c>
      <c r="B26" s="82" t="inlineStr">
        <is>
          <t>Historical-price snapshot verified against Digrin monthly adjusted-price tables; competitor fields verified against issuer pages; risk-free observations verified against FRED.</t>
        </is>
      </c>
      <c r="C26" s="82" t="inlineStr">
        <is>
          <t>Audit performed 2026-09-19</t>
        </is>
      </c>
      <c r="D26" s="136" t="inlineStr">
        <is>
          <t>See data/source_manifest.csv and DATA_AUDIT.md in repository.</t>
        </is>
      </c>
      <c r="E26" s="82" t="inlineStr">
        <is>
          <t>Derived metrics are calculated from the bundled source files; they are not manually entered market statistics.</t>
        </is>
      </c>
    </row>
  </sheetData>
  <mergeCells count="3">
    <mergeCell ref="A2:H2"/>
    <mergeCell ref="A13:E1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</hyperlinks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Dilsher Chatha</dc:creator>
  <dc:title xmlns:dc="http://purl.org/dc/elements/1.1/">ETF Product Strategy &amp; Risk Analytics</dc:title>
  <dc:subject xmlns:dc="http://purl.org/dc/elements/1.1/">Morgan Stanley Investment Management Strategic Functions portfolio project</dc:subject>
  <dcterms:created xmlns:dcterms="http://purl.org/dc/terms/" xmlns:xsi="http://www.w3.org/2001/XMLSchema-instance" xsi:type="dcterms:W3CDTF">2026-09-20T01:59:02Z</dcterms:created>
  <dcterms:modified xmlns:dcterms="http://purl.org/dc/terms/" xmlns:xsi="http://www.w3.org/2001/XMLSchema-instance" xsi:type="dcterms:W3CDTF">2026-09-20T02:28:23Z</dcterms:modified>
</cp:coreProperties>
</file>